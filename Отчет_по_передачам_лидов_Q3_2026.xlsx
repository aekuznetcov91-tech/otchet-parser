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отчет Q3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0"/>
    </font>
    <font>
      <name val="Segoe UI"/>
      <b val="1"/>
      <color rgb="00FFFFFF"/>
      <sz val="10"/>
    </font>
    <font>
      <name val="Segoe UI"/>
      <b val="1"/>
      <color rgb="00111827"/>
      <sz val="10"/>
    </font>
    <font>
      <name val="Segoe UI"/>
      <color rgb="001F2937"/>
      <sz val="10"/>
    </font>
    <font>
      <name val="Segoe UI"/>
      <b val="1"/>
      <color rgb="001E3A8A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EEF2FF"/>
        <bgColor rgb="00EEF2FF"/>
      </patternFill>
    </fill>
    <fill>
      <patternFill patternType="solid">
        <fgColor rgb="00F3F4F6"/>
        <bgColor rgb="00F3F4F6"/>
      </patternFill>
    </fill>
    <fill>
      <patternFill patternType="solid">
        <fgColor rgb="00DBEAFE"/>
        <bgColor rgb="00DBEAFE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9CA3AF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E3A8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center" vertical="center"/>
    </xf>
    <xf numFmtId="3" fontId="6" fillId="6" borderId="3" applyAlignment="1" pivotButton="0" quotePrefix="0" xfId="0">
      <alignment horizontal="right" vertical="center"/>
    </xf>
    <xf numFmtId="164" fontId="6" fillId="6" borderId="3" applyAlignment="1" pivotButton="0" quotePrefix="0" xfId="0">
      <alignment horizontal="right" vertical="center"/>
    </xf>
    <xf numFmtId="165" fontId="6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1" ht="28" customHeight="1">
      <c r="A1" s="1" t="inlineStr">
        <is>
          <t>Отчет по передачам лидов и воронке Trade-in (Июль – Сентябрь 2026)</t>
        </is>
      </c>
    </row>
    <row r="2" ht="18" customHeight="1">
      <c r="A2" s="2" t="inlineStr">
        <is>
          <t>Компании: АвтоГермес, У Сервис, ТЦ Кунцево, Авилон | Формат: чистые лиды CRM + сделки ФДЦ и Онлайн | Воронка ТИ: 85% и 55%</t>
        </is>
      </c>
    </row>
    <row r="3" ht="10" customHeight="1"/>
    <row r="4" ht="36" customHeight="1">
      <c r="A4" s="3" t="inlineStr">
        <is>
          <t>Компания (Холдинг)</t>
        </is>
      </c>
      <c r="B4" s="3" t="inlineStr">
        <is>
          <t>Период</t>
        </is>
      </c>
      <c r="C4" s="3" t="inlineStr">
        <is>
          <t>Передано лидов
(CRM + ФДЦ/Онлайн)</t>
        </is>
      </c>
      <c r="D4" s="3" t="inlineStr">
        <is>
          <t>Клиентов с ТИ
(85% от переданных)</t>
        </is>
      </c>
      <c r="E4" s="3" t="inlineStr">
        <is>
          <t>Готовы пойти в ТИ
(55% от клиентов ТИ)</t>
        </is>
      </c>
      <c r="F4" s="3" t="inlineStr">
        <is>
          <t>Сделки с передачи
(чистые из лидов)</t>
        </is>
      </c>
      <c r="G4" s="3" t="inlineStr">
        <is>
          <t>Сквозной CR
(Сделки / Лиды)</t>
        </is>
      </c>
    </row>
    <row r="5" ht="22" customHeight="1">
      <c r="A5" s="4" t="inlineStr">
        <is>
          <t>АвтоГермес</t>
        </is>
      </c>
      <c r="B5" s="5" t="inlineStr">
        <is>
          <t>Июль 2026</t>
        </is>
      </c>
      <c r="C5" s="6" t="n">
        <v>89</v>
      </c>
      <c r="D5" s="7">
        <f>C5*0.85</f>
        <v/>
      </c>
      <c r="E5" s="7">
        <f>D5*0.55</f>
        <v/>
      </c>
      <c r="F5" s="6" t="n">
        <v>11</v>
      </c>
      <c r="G5" s="8">
        <f>IF(C5&gt;0, F5/C5, 0)</f>
        <v/>
      </c>
    </row>
    <row r="6" ht="22" customHeight="1">
      <c r="A6" s="9" t="inlineStr"/>
      <c r="B6" s="10" t="inlineStr">
        <is>
          <t>Август 2026</t>
        </is>
      </c>
      <c r="C6" s="11" t="n">
        <v>85</v>
      </c>
      <c r="D6" s="12">
        <f>C6*0.85</f>
        <v/>
      </c>
      <c r="E6" s="12">
        <f>D6*0.55</f>
        <v/>
      </c>
      <c r="F6" s="11" t="n">
        <v>6</v>
      </c>
      <c r="G6" s="13">
        <f>IF(C6&gt;0, F6/C6, 0)</f>
        <v/>
      </c>
    </row>
    <row r="7" ht="22" customHeight="1">
      <c r="A7" s="14" t="inlineStr"/>
      <c r="B7" s="5" t="inlineStr">
        <is>
          <t>Сентябрь 2026</t>
        </is>
      </c>
      <c r="C7" s="6" t="n">
        <v>80</v>
      </c>
      <c r="D7" s="7">
        <f>C7*0.85</f>
        <v/>
      </c>
      <c r="E7" s="7">
        <f>D7*0.55</f>
        <v/>
      </c>
      <c r="F7" s="6" t="n">
        <v>5</v>
      </c>
      <c r="G7" s="8">
        <f>IF(C7&gt;0, F7/C7, 0)</f>
        <v/>
      </c>
    </row>
    <row r="8" ht="24" customHeight="1">
      <c r="A8" s="15" t="inlineStr">
        <is>
          <t>Итого АвтоГермес</t>
        </is>
      </c>
      <c r="B8" s="16" t="inlineStr">
        <is>
          <t>3 месяца (Q3)</t>
        </is>
      </c>
      <c r="C8" s="17">
        <f>SUM(C5:C7)</f>
        <v/>
      </c>
      <c r="D8" s="18">
        <f>C8*0.85</f>
        <v/>
      </c>
      <c r="E8" s="18">
        <f>D8*0.55</f>
        <v/>
      </c>
      <c r="F8" s="17">
        <f>SUM(F5:F7)</f>
        <v/>
      </c>
      <c r="G8" s="19">
        <f>IF(C8&gt;0, F8/C8, 0)</f>
        <v/>
      </c>
    </row>
    <row r="9" ht="10" customHeight="1"/>
    <row r="10" ht="22" customHeight="1">
      <c r="A10" s="4" t="inlineStr">
        <is>
          <t>У Сервис</t>
        </is>
      </c>
      <c r="B10" s="5" t="inlineStr">
        <is>
          <t>Июль 2026</t>
        </is>
      </c>
      <c r="C10" s="6" t="n">
        <v>33</v>
      </c>
      <c r="D10" s="7">
        <f>C10*0.85</f>
        <v/>
      </c>
      <c r="E10" s="7">
        <f>D10*0.55</f>
        <v/>
      </c>
      <c r="F10" s="6" t="n">
        <v>0</v>
      </c>
      <c r="G10" s="20">
        <f>IF(C10&gt;0, F10/C10, 0)</f>
        <v/>
      </c>
    </row>
    <row r="11" ht="22" customHeight="1">
      <c r="A11" s="9" t="inlineStr"/>
      <c r="B11" s="10" t="inlineStr">
        <is>
          <t>Август 2026</t>
        </is>
      </c>
      <c r="C11" s="11" t="n">
        <v>13</v>
      </c>
      <c r="D11" s="12">
        <f>C11*0.85</f>
        <v/>
      </c>
      <c r="E11" s="12">
        <f>D11*0.55</f>
        <v/>
      </c>
      <c r="F11" s="11" t="n">
        <v>0</v>
      </c>
      <c r="G11" s="21">
        <f>IF(C11&gt;0, F11/C11, 0)</f>
        <v/>
      </c>
    </row>
    <row r="12" ht="22" customHeight="1">
      <c r="A12" s="14" t="inlineStr"/>
      <c r="B12" s="5" t="inlineStr">
        <is>
          <t>Сентябрь 2026</t>
        </is>
      </c>
      <c r="C12" s="6" t="n">
        <v>12</v>
      </c>
      <c r="D12" s="7">
        <f>C12*0.85</f>
        <v/>
      </c>
      <c r="E12" s="7">
        <f>D12*0.55</f>
        <v/>
      </c>
      <c r="F12" s="6" t="n">
        <v>0</v>
      </c>
      <c r="G12" s="20">
        <f>IF(C12&gt;0, F12/C12, 0)</f>
        <v/>
      </c>
    </row>
    <row r="13" ht="24" customHeight="1">
      <c r="A13" s="15" t="inlineStr">
        <is>
          <t>Итого У Сервис</t>
        </is>
      </c>
      <c r="B13" s="16" t="inlineStr">
        <is>
          <t>3 месяца (Q3)</t>
        </is>
      </c>
      <c r="C13" s="17">
        <f>SUM(C10:C12)</f>
        <v/>
      </c>
      <c r="D13" s="18">
        <f>C13*0.85</f>
        <v/>
      </c>
      <c r="E13" s="18">
        <f>D13*0.55</f>
        <v/>
      </c>
      <c r="F13" s="17">
        <f>SUM(F10:F12)</f>
        <v/>
      </c>
      <c r="G13" s="19">
        <f>IF(C13&gt;0, F13/C13, 0)</f>
        <v/>
      </c>
    </row>
    <row r="14" ht="10" customHeight="1"/>
    <row r="15" ht="22" customHeight="1">
      <c r="A15" s="4" t="inlineStr">
        <is>
          <t>Кунцево</t>
        </is>
      </c>
      <c r="B15" s="5" t="inlineStr">
        <is>
          <t>Июль 2026</t>
        </is>
      </c>
      <c r="C15" s="6" t="n">
        <v>81</v>
      </c>
      <c r="D15" s="7">
        <f>C15*0.85</f>
        <v/>
      </c>
      <c r="E15" s="7">
        <f>D15*0.55</f>
        <v/>
      </c>
      <c r="F15" s="6" t="n">
        <v>8</v>
      </c>
      <c r="G15" s="8">
        <f>IF(C15&gt;0, F15/C15, 0)</f>
        <v/>
      </c>
    </row>
    <row r="16" ht="22" customHeight="1">
      <c r="A16" s="9" t="inlineStr"/>
      <c r="B16" s="10" t="inlineStr">
        <is>
          <t>Август 2026</t>
        </is>
      </c>
      <c r="C16" s="11" t="n">
        <v>46</v>
      </c>
      <c r="D16" s="12">
        <f>C16*0.85</f>
        <v/>
      </c>
      <c r="E16" s="12">
        <f>D16*0.55</f>
        <v/>
      </c>
      <c r="F16" s="11" t="n">
        <v>4</v>
      </c>
      <c r="G16" s="13">
        <f>IF(C16&gt;0, F16/C16, 0)</f>
        <v/>
      </c>
    </row>
    <row r="17" ht="22" customHeight="1">
      <c r="A17" s="14" t="inlineStr"/>
      <c r="B17" s="5" t="inlineStr">
        <is>
          <t>Сентябрь 2026</t>
        </is>
      </c>
      <c r="C17" s="6" t="n">
        <v>42</v>
      </c>
      <c r="D17" s="7">
        <f>C17*0.85</f>
        <v/>
      </c>
      <c r="E17" s="7">
        <f>D17*0.55</f>
        <v/>
      </c>
      <c r="F17" s="6" t="n">
        <v>2</v>
      </c>
      <c r="G17" s="8">
        <f>IF(C17&gt;0, F17/C17, 0)</f>
        <v/>
      </c>
    </row>
    <row r="18" ht="24" customHeight="1">
      <c r="A18" s="15" t="inlineStr">
        <is>
          <t>Итого Кунцево</t>
        </is>
      </c>
      <c r="B18" s="16" t="inlineStr">
        <is>
          <t>3 месяца (Q3)</t>
        </is>
      </c>
      <c r="C18" s="17">
        <f>SUM(C15:C17)</f>
        <v/>
      </c>
      <c r="D18" s="18">
        <f>C18*0.85</f>
        <v/>
      </c>
      <c r="E18" s="18">
        <f>D18*0.55</f>
        <v/>
      </c>
      <c r="F18" s="17">
        <f>SUM(F15:F17)</f>
        <v/>
      </c>
      <c r="G18" s="19">
        <f>IF(C18&gt;0, F18/C18, 0)</f>
        <v/>
      </c>
    </row>
    <row r="19" ht="10" customHeight="1"/>
    <row r="20" ht="22" customHeight="1">
      <c r="A20" s="4" t="inlineStr">
        <is>
          <t>Авилон</t>
        </is>
      </c>
      <c r="B20" s="5" t="inlineStr">
        <is>
          <t>Июль 2026</t>
        </is>
      </c>
      <c r="C20" s="6" t="n">
        <v>0</v>
      </c>
      <c r="D20" s="7">
        <f>C20*0.85</f>
        <v/>
      </c>
      <c r="E20" s="7">
        <f>D20*0.55</f>
        <v/>
      </c>
      <c r="F20" s="6" t="n">
        <v>0</v>
      </c>
      <c r="G20" s="20">
        <f>IF(C20&gt;0, F20/C20, 0)</f>
        <v/>
      </c>
    </row>
    <row r="21" ht="22" customHeight="1">
      <c r="A21" s="9" t="inlineStr"/>
      <c r="B21" s="10" t="inlineStr">
        <is>
          <t>Август 2026</t>
        </is>
      </c>
      <c r="C21" s="11" t="n">
        <v>0</v>
      </c>
      <c r="D21" s="12">
        <f>C21*0.85</f>
        <v/>
      </c>
      <c r="E21" s="12">
        <f>D21*0.55</f>
        <v/>
      </c>
      <c r="F21" s="11" t="n">
        <v>0</v>
      </c>
      <c r="G21" s="21">
        <f>IF(C21&gt;0, F21/C21, 0)</f>
        <v/>
      </c>
    </row>
    <row r="22" ht="22" customHeight="1">
      <c r="A22" s="14" t="inlineStr"/>
      <c r="B22" s="5" t="inlineStr">
        <is>
          <t>Сентябрь 2026</t>
        </is>
      </c>
      <c r="C22" s="6" t="n">
        <v>24</v>
      </c>
      <c r="D22" s="7">
        <f>C22*0.85</f>
        <v/>
      </c>
      <c r="E22" s="7">
        <f>D22*0.55</f>
        <v/>
      </c>
      <c r="F22" s="6" t="n">
        <v>3</v>
      </c>
      <c r="G22" s="8">
        <f>IF(C22&gt;0, F22/C22, 0)</f>
        <v/>
      </c>
    </row>
    <row r="23" ht="24" customHeight="1">
      <c r="A23" s="15" t="inlineStr">
        <is>
          <t>Итого Авилон</t>
        </is>
      </c>
      <c r="B23" s="16" t="inlineStr">
        <is>
          <t>3 месяца (Q3)</t>
        </is>
      </c>
      <c r="C23" s="17">
        <f>SUM(C20:C22)</f>
        <v/>
      </c>
      <c r="D23" s="18">
        <f>C23*0.85</f>
        <v/>
      </c>
      <c r="E23" s="18">
        <f>D23*0.55</f>
        <v/>
      </c>
      <c r="F23" s="17">
        <f>SUM(F20:F22)</f>
        <v/>
      </c>
      <c r="G23" s="19">
        <f>IF(C23&gt;0, F23/C23, 0)</f>
        <v/>
      </c>
    </row>
    <row r="24" ht="10" customHeight="1"/>
    <row r="25" ht="24" customHeight="1">
      <c r="A25" s="22" t="inlineStr">
        <is>
          <t>СВОДНЫЕ ИТОГИ ПО 4 ХОЛДИНГАМ</t>
        </is>
      </c>
      <c r="B25" s="23" t="n"/>
      <c r="C25" s="23" t="n"/>
      <c r="D25" s="23" t="n"/>
      <c r="E25" s="23" t="n"/>
      <c r="F25" s="23" t="n"/>
      <c r="G25" s="23" t="n"/>
    </row>
    <row r="26" ht="22" customHeight="1">
      <c r="A26" s="14" t="inlineStr">
        <is>
          <t>Все 4 компании</t>
        </is>
      </c>
      <c r="B26" s="5" t="inlineStr">
        <is>
          <t>Июль 2026</t>
        </is>
      </c>
      <c r="C26" s="6">
        <f>C5+C10+C15+C20</f>
        <v/>
      </c>
      <c r="D26" s="7">
        <f>C26*0.85</f>
        <v/>
      </c>
      <c r="E26" s="7">
        <f>D26*0.55</f>
        <v/>
      </c>
      <c r="F26" s="6">
        <f>F5+F10+F15+F20</f>
        <v/>
      </c>
      <c r="G26" s="8">
        <f>IF(C26&gt;0, F26/C26, 0)</f>
        <v/>
      </c>
    </row>
    <row r="27" ht="22" customHeight="1">
      <c r="A27" s="9" t="inlineStr">
        <is>
          <t>Все 4 компании</t>
        </is>
      </c>
      <c r="B27" s="10" t="inlineStr">
        <is>
          <t>Август 2026</t>
        </is>
      </c>
      <c r="C27" s="11">
        <f>C6+C11+C16+C21</f>
        <v/>
      </c>
      <c r="D27" s="12">
        <f>C27*0.85</f>
        <v/>
      </c>
      <c r="E27" s="12">
        <f>D27*0.55</f>
        <v/>
      </c>
      <c r="F27" s="11">
        <f>F6+F11+F16+F21</f>
        <v/>
      </c>
      <c r="G27" s="13">
        <f>IF(C27&gt;0, F27/C27, 0)</f>
        <v/>
      </c>
    </row>
    <row r="28" ht="22" customHeight="1">
      <c r="A28" s="14" t="inlineStr">
        <is>
          <t>Все 4 компании</t>
        </is>
      </c>
      <c r="B28" s="5" t="inlineStr">
        <is>
          <t>Сентябрь 2026</t>
        </is>
      </c>
      <c r="C28" s="6">
        <f>C7+C12+C17+C22</f>
        <v/>
      </c>
      <c r="D28" s="7">
        <f>C28*0.85</f>
        <v/>
      </c>
      <c r="E28" s="7">
        <f>D28*0.55</f>
        <v/>
      </c>
      <c r="F28" s="6">
        <f>F7+F12+F17+F22</f>
        <v/>
      </c>
      <c r="G28" s="8">
        <f>IF(C28&gt;0, F28/C28, 0)</f>
        <v/>
      </c>
    </row>
    <row r="29" ht="26" customHeight="1">
      <c r="A29" s="24" t="inlineStr">
        <is>
          <t>ИТОГО ВСЕ ХОЛДИНГИ</t>
        </is>
      </c>
      <c r="B29" s="25" t="inlineStr">
        <is>
          <t>ИТОГО ЗА 3 МЕСЯЦА</t>
        </is>
      </c>
      <c r="C29" s="26">
        <f>SUM(C26:C28)</f>
        <v/>
      </c>
      <c r="D29" s="27">
        <f>C29*0.85</f>
        <v/>
      </c>
      <c r="E29" s="27">
        <f>D29*0.55</f>
        <v/>
      </c>
      <c r="F29" s="26">
        <f>SUM(F26:F28)</f>
        <v/>
      </c>
      <c r="G29" s="28">
        <f>IF(C29&gt;0, F29/C29, 0)</f>
        <v/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2026-10-06T09:33:33Z</dcterms:created>
  <dcterms:modified xmlns:dcterms="http://purl.org/dc/terms/" xmlns:xsi="http://www.w3.org/2001/XMLSchema-instance" xsi:type="dcterms:W3CDTF">2026-10-06T09:33:33Z</dcterms:modified>
</cp:coreProperties>
</file>