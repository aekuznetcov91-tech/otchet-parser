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aceslavgamaunov/Downloads/"/>
    </mc:Choice>
  </mc:AlternateContent>
  <xr:revisionPtr revIDLastSave="0" documentId="8_{4D2F3805-BCEB-EC49-97E3-2B0F184418D6}" xr6:coauthVersionLast="47" xr6:coauthVersionMax="47" xr10:uidLastSave="{00000000-0000-0000-0000-000000000000}"/>
  <bookViews>
    <workbookView xWindow="120" yWindow="600" windowWidth="21640" windowHeight="15560" xr2:uid="{BB6DE7F3-56E7-C94E-A9FD-EE9B64512C4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" i="1" l="1"/>
  <c r="F15" i="1"/>
  <c r="F16" i="1" s="1"/>
  <c r="G15" i="1"/>
  <c r="H15" i="1"/>
  <c r="H16" i="1" s="1"/>
  <c r="D8" i="1"/>
  <c r="D13" i="1"/>
  <c r="D12" i="1"/>
  <c r="D11" i="1"/>
  <c r="D10" i="1"/>
  <c r="D9" i="1"/>
  <c r="D7" i="1"/>
  <c r="D6" i="1"/>
  <c r="D5" i="1"/>
  <c r="C15" i="1"/>
  <c r="C6" i="1"/>
  <c r="C7" i="1"/>
  <c r="C8" i="1"/>
  <c r="C9" i="1"/>
  <c r="C10" i="1"/>
  <c r="C11" i="1"/>
  <c r="C12" i="1"/>
  <c r="C13" i="1"/>
  <c r="C5" i="1"/>
  <c r="D15" i="1" l="1"/>
  <c r="D16" i="1" l="1"/>
  <c r="D17" i="1"/>
</calcChain>
</file>

<file path=xl/sharedStrings.xml><?xml version="1.0" encoding="utf-8"?>
<sst xmlns="http://schemas.openxmlformats.org/spreadsheetml/2006/main" count="21" uniqueCount="21">
  <si>
    <t>Jetour</t>
  </si>
  <si>
    <t>План МП</t>
  </si>
  <si>
    <t>План розница</t>
  </si>
  <si>
    <t>RR МП2</t>
  </si>
  <si>
    <t>RR Розница</t>
  </si>
  <si>
    <t>LADA</t>
  </si>
  <si>
    <t>Soueast</t>
  </si>
  <si>
    <t>GAC</t>
  </si>
  <si>
    <t>Solaris</t>
  </si>
  <si>
    <t>GBK</t>
  </si>
  <si>
    <t>Changan</t>
  </si>
  <si>
    <t>TENET</t>
  </si>
  <si>
    <t>O&amp;J</t>
  </si>
  <si>
    <t>ИТОГО</t>
  </si>
  <si>
    <t>Итого RR:</t>
  </si>
  <si>
    <t>Итого План:</t>
  </si>
  <si>
    <t>TENET plus</t>
  </si>
  <si>
    <t>ESTEO</t>
  </si>
  <si>
    <t>VOLGA</t>
  </si>
  <si>
    <t>HONGQI</t>
  </si>
  <si>
    <t>HAVAL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</si>
</sst>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9" fontId="0" fillId="0" borderId="0" xfId="1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02ABC-AB80-694F-A6B2-F84A0A6A8932}">
  <dimension ref="B4:H22"/>
  <sheetViews>
    <sheetView tabSelected="1" zoomScale="117" workbookViewId="0">
      <selection activeCell="C22" sqref="C18:C22"/>
    </sheetView>
  </sheetViews>
  <sheetFormatPr baseColWidth="10" defaultRowHeight="16" x14ac:dyDescent="0.2"/>
  <cols>
    <col min="1" max="2" width="10.83203125" style="1"/>
    <col min="3" max="3" width="15.1640625" style="1" customWidth="1"/>
    <col min="4" max="7" width="13" style="1" bestFit="1" customWidth="1"/>
    <col min="8" max="16384" width="10.83203125" style="1"/>
  </cols>
  <sheetData>
    <row r="4" spans="2:8" x14ac:dyDescent="0.2">
      <c r="B4" s="4"/>
      <c r="C4" s="4" t="s">
        <v>15</v>
      </c>
      <c r="D4" s="4" t="s">
        <v>14</v>
      </c>
      <c r="E4" s="4" t="s">
        <v>1</v>
      </c>
      <c r="F4" s="4" t="s">
        <v>3</v>
      </c>
      <c r="G4" s="4" t="s">
        <v>2</v>
      </c>
      <c r="H4" s="4" t="s">
        <v>4</v>
      </c>
    </row>
    <row r="5" spans="2:8" x14ac:dyDescent="0.2">
      <c r="B5" s="5" t="s">
        <v>0</v>
      </c>
      <c r="C5" s="6">
        <f>E5+G5</f>
        <v>850</v>
      </c>
      <c r="D5" s="6">
        <f>F5+H5</f>
        <v>525</v>
      </c>
      <c r="E5" s="6">
        <v>700</v>
      </c>
      <c r="F5" s="6">
        <v>475</v>
      </c>
      <c r="G5" s="6">
        <v>150</v>
      </c>
      <c r="H5" s="6">
        <v>50</v>
      </c>
    </row>
    <row r="6" spans="2:8" x14ac:dyDescent="0.2">
      <c r="B6" s="5" t="s">
        <v>5</v>
      </c>
      <c r="C6" s="6">
        <f>E6+G6</f>
        <v>250</v>
      </c>
      <c r="D6" s="6">
        <f t="shared" ref="D6:D13" si="0">F6+H6</f>
        <v>225</v>
      </c>
      <c r="E6" s="6">
        <v>100</v>
      </c>
      <c r="F6" s="6">
        <v>100</v>
      </c>
      <c r="G6" s="6">
        <v>150</v>
      </c>
      <c r="H6" s="6">
        <v>125</v>
      </c>
    </row>
    <row r="7" spans="2:8" x14ac:dyDescent="0.2">
      <c r="B7" s="5" t="s">
        <v>6</v>
      </c>
      <c r="C7" s="6">
        <f>E7+G7</f>
        <v>150</v>
      </c>
      <c r="D7" s="6">
        <f t="shared" si="0"/>
        <v>120</v>
      </c>
      <c r="E7" s="6">
        <v>110</v>
      </c>
      <c r="F7" s="6">
        <v>80</v>
      </c>
      <c r="G7" s="6">
        <v>40</v>
      </c>
      <c r="H7" s="6">
        <v>40</v>
      </c>
    </row>
    <row r="8" spans="2:8" x14ac:dyDescent="0.2">
      <c r="B8" s="5" t="s">
        <v>7</v>
      </c>
      <c r="C8" s="6">
        <f>E8+G8</f>
        <v>175</v>
      </c>
      <c r="D8" s="6">
        <f t="shared" si="0"/>
        <v>195</v>
      </c>
      <c r="E8" s="8">
        <v>155</v>
      </c>
      <c r="F8" s="8">
        <v>180</v>
      </c>
      <c r="G8" s="6">
        <v>20</v>
      </c>
      <c r="H8" s="6">
        <v>15</v>
      </c>
    </row>
    <row r="9" spans="2:8" x14ac:dyDescent="0.2">
      <c r="B9" s="5" t="s">
        <v>8</v>
      </c>
      <c r="C9" s="6">
        <f>E9+G9</f>
        <v>125</v>
      </c>
      <c r="D9" s="6">
        <f t="shared" si="0"/>
        <v>125</v>
      </c>
      <c r="E9" s="6">
        <v>110</v>
      </c>
      <c r="F9" s="6">
        <v>110</v>
      </c>
      <c r="G9" s="6">
        <v>15</v>
      </c>
      <c r="H9" s="6">
        <v>15</v>
      </c>
    </row>
    <row r="10" spans="2:8" x14ac:dyDescent="0.2">
      <c r="B10" s="5" t="s">
        <v>9</v>
      </c>
      <c r="C10" s="6">
        <f>E10+G10</f>
        <v>150</v>
      </c>
      <c r="D10" s="6">
        <f t="shared" si="0"/>
        <v>120</v>
      </c>
      <c r="E10" s="9">
        <v>140</v>
      </c>
      <c r="F10" s="9">
        <v>110</v>
      </c>
      <c r="G10" s="6">
        <v>10</v>
      </c>
      <c r="H10" s="6">
        <v>10</v>
      </c>
    </row>
    <row r="11" spans="2:8" x14ac:dyDescent="0.2">
      <c r="B11" s="5" t="s">
        <v>10</v>
      </c>
      <c r="C11" s="6">
        <f>E11+G11</f>
        <v>50</v>
      </c>
      <c r="D11" s="6">
        <f t="shared" si="0"/>
        <v>35</v>
      </c>
      <c r="E11" s="6">
        <v>45</v>
      </c>
      <c r="F11" s="6">
        <v>30</v>
      </c>
      <c r="G11" s="6">
        <v>5</v>
      </c>
      <c r="H11" s="6">
        <v>5</v>
      </c>
    </row>
    <row r="12" spans="2:8" x14ac:dyDescent="0.2">
      <c r="B12" s="5" t="s">
        <v>11</v>
      </c>
      <c r="C12" s="6">
        <f>E12+G12</f>
        <v>50</v>
      </c>
      <c r="D12" s="6">
        <f t="shared" si="0"/>
        <v>125</v>
      </c>
      <c r="E12" s="6">
        <v>0</v>
      </c>
      <c r="F12" s="6">
        <v>25</v>
      </c>
      <c r="G12" s="6">
        <v>50</v>
      </c>
      <c r="H12" s="6">
        <v>100</v>
      </c>
    </row>
    <row r="13" spans="2:8" x14ac:dyDescent="0.2">
      <c r="B13" s="5" t="s">
        <v>12</v>
      </c>
      <c r="C13" s="6">
        <f>E13+G13</f>
        <v>25</v>
      </c>
      <c r="D13" s="6">
        <f t="shared" si="0"/>
        <v>125</v>
      </c>
      <c r="E13" s="6">
        <v>0</v>
      </c>
      <c r="F13" s="6">
        <v>75</v>
      </c>
      <c r="G13" s="6">
        <v>25</v>
      </c>
      <c r="H13" s="6">
        <v>50</v>
      </c>
    </row>
    <row r="14" spans="2:8" x14ac:dyDescent="0.2">
      <c r="B14" s="2"/>
      <c r="C14" s="2"/>
      <c r="G14" s="2"/>
    </row>
    <row r="15" spans="2:8" x14ac:dyDescent="0.2">
      <c r="B15" s="5" t="s">
        <v>13</v>
      </c>
      <c r="C15" s="5">
        <f>SUM(C5:C13)</f>
        <v>1825</v>
      </c>
      <c r="D15" s="7">
        <f>SUM(D5:D13)</f>
        <v>1595</v>
      </c>
      <c r="E15" s="5">
        <f t="shared" ref="E15:H15" si="1">SUM(E5:E13)</f>
        <v>1360</v>
      </c>
      <c r="F15" s="7">
        <f t="shared" si="1"/>
        <v>1185</v>
      </c>
      <c r="G15" s="5">
        <f t="shared" si="1"/>
        <v>465</v>
      </c>
      <c r="H15" s="7">
        <f t="shared" si="1"/>
        <v>410</v>
      </c>
    </row>
    <row r="16" spans="2:8" x14ac:dyDescent="0.2">
      <c r="C16" s="1">
        <v>1718</v>
      </c>
      <c r="D16" s="3">
        <f>-(C15-D15)/C15</f>
        <v>-0.12602739726027398</v>
      </c>
      <c r="F16" s="3">
        <f>-(E15-F15)/E15</f>
        <v>-0.12867647058823528</v>
      </c>
      <c r="H16" s="3">
        <f>-(G15-H15)/G15</f>
        <v>-0.11827956989247312</v>
      </c>
    </row>
    <row r="17" spans="3:4" x14ac:dyDescent="0.2">
      <c r="D17" s="3">
        <f>-(C16-D15)/C16</f>
        <v>-7.1594877764842843E-2</v>
      </c>
    </row>
    <row r="18" spans="3:4" x14ac:dyDescent="0.2">
      <c r="C18" s="1" t="s">
        <v>16</v>
      </c>
    </row>
    <row r="19" spans="3:4" x14ac:dyDescent="0.2">
      <c r="C19" s="1" t="s">
        <v>17</v>
      </c>
    </row>
    <row r="20" spans="3:4" x14ac:dyDescent="0.2">
      <c r="C20" s="1" t="s">
        <v>18</v>
      </c>
    </row>
    <row r="21" spans="3:4" x14ac:dyDescent="0.2">
      <c r="C21" s="1" t="s">
        <v>19</v>
      </c>
    </row>
    <row r="22" spans="3:4" x14ac:dyDescent="0.2">
      <c r="C22" s="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Вячеслав Гамаюнов</dc:creator>
  <cp:lastModifiedBy>Вячеслав Гамаюнов</cp:lastModifiedBy>
  <dcterms:created xsi:type="dcterms:W3CDTF">2026-09-09T13:05:22Z</dcterms:created>
  <dcterms:modified xsi:type="dcterms:W3CDTF">2026-09-09T15:44:25Z</dcterms:modified>
</cp:coreProperties>
</file>