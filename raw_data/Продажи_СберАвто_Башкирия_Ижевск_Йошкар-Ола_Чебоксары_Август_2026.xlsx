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 Города и Бренды" sheetId="1" state="visible" r:id="rId1"/>
    <sheet xmlns:r="http://schemas.openxmlformats.org/officeDocument/2006/relationships" name="Дилеры и партнеры" sheetId="2" state="visible" r:id="rId2"/>
    <sheet xmlns:r="http://schemas.openxmlformats.org/officeDocument/2006/relationships" name="Реестр всех сделок (53 авто)" sheetId="3" state="visible" r:id="rId3"/>
    <sheet xmlns:r="http://schemas.openxmlformats.org/officeDocument/2006/relationships" name="Чебоксары (Чувашия)" sheetId="4" state="visible" r:id="rId4"/>
  </sheets>
  <definedNames>
    <definedName name="_xlnm._FilterDatabase" localSheetId="1" hidden="1">'Дилеры и партнеры'!$A$1:$K$12</definedName>
    <definedName name="_xlnm._FilterDatabase" localSheetId="2" hidden="1">'Реестр всех сделок (53 авто)'!$A$1:$Q$54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 ₽"/>
    <numFmt numFmtId="166" formatCode="#,##0.00 ₽"/>
  </numFmts>
  <fonts count="9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color rgb="0064748B"/>
      <sz val="10"/>
    </font>
    <font>
      <name val="Calibri"/>
      <b val="1"/>
      <color rgb="001A365D"/>
      <sz val="15"/>
    </font>
    <font>
      <name val="Calibri"/>
      <b val="1"/>
      <color rgb="0064748B"/>
      <sz val="9"/>
    </font>
    <font>
      <name val="Calibri"/>
      <b val="1"/>
      <color rgb="001A365D"/>
      <sz val="12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A365D"/>
        <bgColor rgb="001A365D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1B4D3E"/>
        <bgColor rgb="001B4D3E"/>
      </patternFill>
    </fill>
    <fill>
      <patternFill patternType="solid">
        <fgColor rgb="002D3748"/>
        <bgColor rgb="002D3748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3" fontId="7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/>
    </xf>
    <xf numFmtId="3" fontId="7" fillId="4" borderId="1" applyAlignment="1" pivotButton="0" quotePrefix="0" xfId="0">
      <alignment horizontal="right" vertical="center"/>
    </xf>
    <xf numFmtId="3" fontId="0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0" fontId="7" fillId="5" borderId="2" applyAlignment="1" pivotButton="0" quotePrefix="0" xfId="0">
      <alignment horizontal="left" vertical="center"/>
    </xf>
    <xf numFmtId="3" fontId="7" fillId="5" borderId="2" applyAlignment="1" pivotButton="0" quotePrefix="0" xfId="0">
      <alignment horizontal="right" vertical="center"/>
    </xf>
    <xf numFmtId="164" fontId="7" fillId="5" borderId="2" applyAlignment="1" pivotButton="0" quotePrefix="0" xfId="0">
      <alignment horizontal="right" vertical="center"/>
    </xf>
    <xf numFmtId="0" fontId="6" fillId="6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3" fontId="8" fillId="4" borderId="1" applyAlignment="1" pivotButton="0" quotePrefix="0" xfId="0">
      <alignment horizontal="right" vertical="center"/>
    </xf>
    <xf numFmtId="164" fontId="8" fillId="4" borderId="1" applyAlignment="1" pivotButton="0" quotePrefix="0" xfId="0">
      <alignment horizontal="right" vertical="center"/>
    </xf>
    <xf numFmtId="165" fontId="8" fillId="4" borderId="1" applyAlignment="1" pivotButton="0" quotePrefix="0" xfId="0">
      <alignment horizontal="right" vertical="center"/>
    </xf>
    <xf numFmtId="166" fontId="8" fillId="4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/>
    </xf>
    <xf numFmtId="3" fontId="8" fillId="0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5" fontId="7" fillId="5" borderId="2" applyAlignment="1" pivotButton="0" quotePrefix="0" xfId="0">
      <alignment horizontal="right" vertical="center"/>
    </xf>
    <xf numFmtId="166" fontId="7" fillId="5" borderId="2" applyAlignment="1" pivotButton="0" quotePrefix="0" xfId="0">
      <alignment horizontal="right" vertical="center"/>
    </xf>
    <xf numFmtId="0" fontId="6" fillId="7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5" borderId="2" pivotButton="0" quotePrefix="0" xfId="0"/>
    <xf numFmtId="0" fontId="1" fillId="0" borderId="0" pivotButton="0" quotePrefix="0" xfId="0"/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1" workbookViewId="0">
      <pane ySplit="9" topLeftCell="A10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8" customWidth="1" min="10" max="10"/>
    <col width="25" customWidth="1" min="11" max="11"/>
  </cols>
  <sheetData>
    <row r="1">
      <c r="A1" s="1" t="inlineStr">
        <is>
          <t>ПРОДАЖИ ЧЕРЕЗ СБЕРАВТО: БАШКИРИЯ, ИЖЕВСК, ЙОШКАР-ОЛА, ЧЕБОКСАРЫ</t>
        </is>
      </c>
    </row>
    <row r="2">
      <c r="A2" s="2" t="inlineStr">
        <is>
          <t>Период: Август 2026 года | Статус: Закрытые сделки (фактические продажи авто) | Источник: CRM СберАвто</t>
        </is>
      </c>
    </row>
    <row r="4">
      <c r="A4" s="3" t="inlineStr">
        <is>
          <t>53 шт.</t>
        </is>
      </c>
      <c r="C4" s="3" t="inlineStr">
        <is>
          <t>114 203 800 ₽</t>
        </is>
      </c>
      <c r="E4" s="3" t="inlineStr">
        <is>
          <t>2 154 789 ₽</t>
        </is>
      </c>
      <c r="G4" s="3" t="inlineStr">
        <is>
          <t>1 594 923 ₽</t>
        </is>
      </c>
      <c r="I4" s="3" t="inlineStr">
        <is>
          <t>18 шт. (34.0%)</t>
        </is>
      </c>
    </row>
    <row r="5">
      <c r="A5" s="4" t="inlineStr">
        <is>
          <t>ПРОДАЖИ (ФАКТ АВТО)</t>
        </is>
      </c>
      <c r="C5" s="4" t="inlineStr">
        <is>
          <t>ОБЪЕМ СДЕЛОК (GMV)</t>
        </is>
      </c>
      <c r="E5" s="4" t="inlineStr">
        <is>
          <t>СРЕДНИЙ ЧЕК АВТОМОБИЛЯ</t>
        </is>
      </c>
      <c r="G5" s="4" t="inlineStr">
        <is>
          <t>ВЫРУЧКА СБЕРАВТО (БЕЗ НДС)</t>
        </is>
      </c>
      <c r="I5" s="4" t="inlineStr">
        <is>
          <t>ДОЛЯ СБЕРКРЕДИТОВ</t>
        </is>
      </c>
    </row>
    <row r="7">
      <c r="A7" s="5" t="inlineStr">
        <is>
          <t>1. Матрица продаж: Города × Бренды (шт. автомобилей)</t>
        </is>
      </c>
    </row>
    <row r="9">
      <c r="A9" s="6" t="inlineStr">
        <is>
          <t>Город</t>
        </is>
      </c>
      <c r="B9" s="6" t="inlineStr">
        <is>
          <t>Регион</t>
        </is>
      </c>
      <c r="C9" s="6" t="inlineStr">
        <is>
          <t>JETOUR</t>
        </is>
      </c>
      <c r="D9" s="6" t="inlineStr">
        <is>
          <t>LADA</t>
        </is>
      </c>
      <c r="E9" s="6" t="inlineStr">
        <is>
          <t>SOUEAST</t>
        </is>
      </c>
      <c r="F9" s="6" t="inlineStr">
        <is>
          <t>CHERY &amp; TENET</t>
        </is>
      </c>
      <c r="G9" s="6" t="inlineStr">
        <is>
          <t>GAC</t>
        </is>
      </c>
      <c r="H9" s="6" t="inlineStr">
        <is>
          <t>ИТОГО</t>
        </is>
      </c>
      <c r="I9" s="6" t="inlineStr">
        <is>
          <t>Доля, %</t>
        </is>
      </c>
    </row>
    <row r="10">
      <c r="A10" s="7" t="inlineStr">
        <is>
          <t>Стерлитамак</t>
        </is>
      </c>
      <c r="B10" s="7" t="inlineStr">
        <is>
          <t>Башкирия</t>
        </is>
      </c>
      <c r="C10" s="8" t="n">
        <v>0</v>
      </c>
      <c r="D10" s="9" t="n">
        <v>14</v>
      </c>
      <c r="E10" s="8" t="n">
        <v>0</v>
      </c>
      <c r="F10" s="8" t="n">
        <v>0</v>
      </c>
      <c r="G10" s="9" t="n">
        <v>1</v>
      </c>
      <c r="H10" s="9">
        <f>SUM(C10:G10)</f>
        <v/>
      </c>
      <c r="I10" s="10">
        <f>H10/$H$17</f>
        <v/>
      </c>
    </row>
    <row r="11">
      <c r="A11" s="11" t="inlineStr">
        <is>
          <t>Ижевск</t>
        </is>
      </c>
      <c r="B11" s="11" t="inlineStr">
        <is>
          <t>Удмуртия</t>
        </is>
      </c>
      <c r="C11" s="12" t="n">
        <v>15</v>
      </c>
      <c r="D11" s="12" t="n">
        <v>3</v>
      </c>
      <c r="E11" s="12" t="n">
        <v>5</v>
      </c>
      <c r="F11" s="12" t="n">
        <v>1</v>
      </c>
      <c r="G11" s="13" t="n">
        <v>0</v>
      </c>
      <c r="H11" s="12">
        <f>SUM(C11:G11)</f>
        <v/>
      </c>
      <c r="I11" s="14">
        <f>H11/$H$17</f>
        <v/>
      </c>
    </row>
    <row r="12">
      <c r="A12" s="7" t="inlineStr">
        <is>
          <t>Уфа</t>
        </is>
      </c>
      <c r="B12" s="7" t="inlineStr">
        <is>
          <t>Башкирия</t>
        </is>
      </c>
      <c r="C12" s="9" t="n">
        <v>3</v>
      </c>
      <c r="D12" s="9" t="n">
        <v>4</v>
      </c>
      <c r="E12" s="8" t="n">
        <v>0</v>
      </c>
      <c r="F12" s="8" t="n">
        <v>0</v>
      </c>
      <c r="G12" s="8" t="n">
        <v>0</v>
      </c>
      <c r="H12" s="9">
        <f>SUM(C12:G12)</f>
        <v/>
      </c>
      <c r="I12" s="10">
        <f>H12/$H$17</f>
        <v/>
      </c>
    </row>
    <row r="13">
      <c r="A13" s="11" t="inlineStr">
        <is>
          <t>Октябрьский</t>
        </is>
      </c>
      <c r="B13" s="11" t="inlineStr">
        <is>
          <t>Башкирия</t>
        </is>
      </c>
      <c r="C13" s="12" t="n">
        <v>3</v>
      </c>
      <c r="D13" s="13" t="n">
        <v>0</v>
      </c>
      <c r="E13" s="12" t="n">
        <v>2</v>
      </c>
      <c r="F13" s="13" t="n">
        <v>0</v>
      </c>
      <c r="G13" s="13" t="n">
        <v>0</v>
      </c>
      <c r="H13" s="12">
        <f>SUM(C13:G13)</f>
        <v/>
      </c>
      <c r="I13" s="14">
        <f>H13/$H$17</f>
        <v/>
      </c>
    </row>
    <row r="14">
      <c r="A14" s="7" t="inlineStr">
        <is>
          <t>Башкортостан (прочие)</t>
        </is>
      </c>
      <c r="B14" s="7" t="inlineStr">
        <is>
          <t>Башкирия</t>
        </is>
      </c>
      <c r="C14" s="9" t="n">
        <v>1</v>
      </c>
      <c r="D14" s="8" t="n">
        <v>0</v>
      </c>
      <c r="E14" s="8" t="n">
        <v>0</v>
      </c>
      <c r="F14" s="8" t="n">
        <v>0</v>
      </c>
      <c r="G14" s="8" t="n">
        <v>0</v>
      </c>
      <c r="H14" s="9">
        <f>SUM(C14:G14)</f>
        <v/>
      </c>
      <c r="I14" s="10">
        <f>H14/$H$17</f>
        <v/>
      </c>
    </row>
    <row r="15">
      <c r="A15" s="11" t="inlineStr">
        <is>
          <t>Йошкар-Ола</t>
        </is>
      </c>
      <c r="B15" s="11" t="inlineStr">
        <is>
          <t>Марий Эл</t>
        </is>
      </c>
      <c r="C15" s="13" t="n">
        <v>0</v>
      </c>
      <c r="D15" s="13" t="n">
        <v>0</v>
      </c>
      <c r="E15" s="12" t="n">
        <v>1</v>
      </c>
      <c r="F15" s="13" t="n">
        <v>0</v>
      </c>
      <c r="G15" s="13" t="n">
        <v>0</v>
      </c>
      <c r="H15" s="12">
        <f>SUM(C15:G15)</f>
        <v/>
      </c>
      <c r="I15" s="14">
        <f>H15/$H$17</f>
        <v/>
      </c>
    </row>
    <row r="16">
      <c r="A16" s="7" t="inlineStr">
        <is>
          <t>Чебоксары</t>
        </is>
      </c>
      <c r="B16" s="7" t="inlineStr">
        <is>
          <t>Чувашия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9">
        <f>SUM(C16:G16)</f>
        <v/>
      </c>
      <c r="I16" s="10">
        <f>H16/$H$17</f>
        <v/>
      </c>
    </row>
    <row r="17">
      <c r="A17" s="15" t="inlineStr">
        <is>
          <t>ИТОГО ПО ВСЕМ ЛОКАЦИЯМ</t>
        </is>
      </c>
      <c r="B17" s="15" t="inlineStr">
        <is>
          <t>4 региона</t>
        </is>
      </c>
      <c r="C17" s="16">
        <f>SUM(C10:C16)</f>
        <v/>
      </c>
      <c r="D17" s="16">
        <f>SUM(D10:D16)</f>
        <v/>
      </c>
      <c r="E17" s="16">
        <f>SUM(E10:E16)</f>
        <v/>
      </c>
      <c r="F17" s="16">
        <f>SUM(F10:F16)</f>
        <v/>
      </c>
      <c r="G17" s="16">
        <f>SUM(G10:G16)</f>
        <v/>
      </c>
      <c r="H17" s="16">
        <f>SUM(H10:H16)</f>
        <v/>
      </c>
      <c r="I17" s="17">
        <f>SUM(I10:I16)</f>
        <v/>
      </c>
    </row>
    <row r="19">
      <c r="A19" s="5" t="inlineStr">
        <is>
          <t>2. Коммерческие и финансовые показатели по городам</t>
        </is>
      </c>
    </row>
    <row r="20">
      <c r="A20" s="18" t="inlineStr">
        <is>
          <t>Город</t>
        </is>
      </c>
      <c r="B20" s="18" t="inlineStr">
        <is>
          <t>Регион</t>
        </is>
      </c>
      <c r="C20" s="18" t="inlineStr">
        <is>
          <t>Продажи, шт.</t>
        </is>
      </c>
      <c r="D20" s="18" t="inlineStr">
        <is>
          <t>Доля, %</t>
        </is>
      </c>
      <c r="E20" s="18" t="inlineStr">
        <is>
          <t>Объем продаж (GMV, ₽)</t>
        </is>
      </c>
      <c r="F20" s="18" t="inlineStr">
        <is>
          <t>Средний чек (₽)</t>
        </is>
      </c>
      <c r="G20" s="18" t="inlineStr">
        <is>
          <t>Выручка СберАвто (₽)</t>
        </is>
      </c>
      <c r="H20" s="18" t="inlineStr">
        <is>
          <t>Сделок с кредитом, шт.</t>
        </is>
      </c>
      <c r="I20" s="18" t="inlineStr">
        <is>
          <t>Кредитное проникновение, %</t>
        </is>
      </c>
      <c r="J20" s="18" t="inlineStr">
        <is>
          <t>Ключевые бренды города</t>
        </is>
      </c>
    </row>
    <row r="21">
      <c r="A21" s="19" t="inlineStr">
        <is>
          <t>Стерлитамак</t>
        </is>
      </c>
      <c r="B21" s="19" t="inlineStr">
        <is>
          <t>Башкирия</t>
        </is>
      </c>
      <c r="C21" s="20" t="n">
        <v>15</v>
      </c>
      <c r="D21" s="21">
        <f>C21/$C$28</f>
        <v/>
      </c>
      <c r="E21" s="22" t="n">
        <v>22501000</v>
      </c>
      <c r="F21" s="22" t="n">
        <v>1500066.666666667</v>
      </c>
      <c r="G21" s="23" t="n">
        <v>297676.24</v>
      </c>
      <c r="H21" s="20" t="n">
        <v>13</v>
      </c>
      <c r="I21" s="21">
        <f>IF(C21&gt;0, H21/C21, 0)</f>
        <v/>
      </c>
      <c r="J21" s="19" t="inlineStr">
        <is>
          <t>LADA (14 шт., 93%), GAC (1 шт.)</t>
        </is>
      </c>
    </row>
    <row r="22">
      <c r="A22" s="24" t="inlineStr">
        <is>
          <t>Ижевск</t>
        </is>
      </c>
      <c r="B22" s="24" t="inlineStr">
        <is>
          <t>Удмуртия</t>
        </is>
      </c>
      <c r="C22" s="25" t="n">
        <v>24</v>
      </c>
      <c r="D22" s="26">
        <f>C22/$C$28</f>
        <v/>
      </c>
      <c r="E22" s="27" t="n">
        <v>61603900</v>
      </c>
      <c r="F22" s="27" t="n">
        <v>2566829.166666667</v>
      </c>
      <c r="G22" s="28" t="n">
        <v>824145.85</v>
      </c>
      <c r="H22" s="25" t="n">
        <v>2</v>
      </c>
      <c r="I22" s="26">
        <f>IF(C22&gt;0, H22/C22, 0)</f>
        <v/>
      </c>
      <c r="J22" s="24" t="inlineStr">
        <is>
          <t>JETOUR (15 шт., 63%), SOUEAST (5 шт.), LADA (3 шт.)</t>
        </is>
      </c>
    </row>
    <row r="23">
      <c r="A23" s="19" t="inlineStr">
        <is>
          <t>Уфа</t>
        </is>
      </c>
      <c r="B23" s="19" t="inlineStr">
        <is>
          <t>Башкирия</t>
        </is>
      </c>
      <c r="C23" s="20" t="n">
        <v>7</v>
      </c>
      <c r="D23" s="21">
        <f>C23/$C$28</f>
        <v/>
      </c>
      <c r="E23" s="22" t="n">
        <v>12049900</v>
      </c>
      <c r="F23" s="22" t="n">
        <v>1721414.285714286</v>
      </c>
      <c r="G23" s="23" t="n">
        <v>177215.58</v>
      </c>
      <c r="H23" s="20" t="n">
        <v>3</v>
      </c>
      <c r="I23" s="21">
        <f>IF(C23&gt;0, H23/C23, 0)</f>
        <v/>
      </c>
      <c r="J23" s="19" t="inlineStr">
        <is>
          <t>LADA (4 шт., 57%), JETOUR (3 шт., 43%)</t>
        </is>
      </c>
    </row>
    <row r="24">
      <c r="A24" s="24" t="inlineStr">
        <is>
          <t>Октябрьский</t>
        </is>
      </c>
      <c r="B24" s="24" t="inlineStr">
        <is>
          <t>Башкирия</t>
        </is>
      </c>
      <c r="C24" s="25" t="n">
        <v>5</v>
      </c>
      <c r="D24" s="26">
        <f>C24/$C$28</f>
        <v/>
      </c>
      <c r="E24" s="27" t="n">
        <v>11829000</v>
      </c>
      <c r="F24" s="27" t="n">
        <v>2365800</v>
      </c>
      <c r="G24" s="28" t="n">
        <v>193918.04</v>
      </c>
      <c r="H24" s="25" t="n">
        <v>0</v>
      </c>
      <c r="I24" s="26">
        <f>IF(C24&gt;0, H24/C24, 0)</f>
        <v/>
      </c>
      <c r="J24" s="24" t="inlineStr">
        <is>
          <t>JETOUR (3 шт., 60%), SOUEAST (2 шт., 40%)</t>
        </is>
      </c>
    </row>
    <row r="25">
      <c r="A25" s="19" t="inlineStr">
        <is>
          <t>Башкортостан (прочие)</t>
        </is>
      </c>
      <c r="B25" s="19" t="inlineStr">
        <is>
          <t>Башкирия</t>
        </is>
      </c>
      <c r="C25" s="20" t="n">
        <v>1</v>
      </c>
      <c r="D25" s="21">
        <f>C25/$C$28</f>
        <v/>
      </c>
      <c r="E25" s="22" t="n">
        <v>3670000</v>
      </c>
      <c r="F25" s="22" t="n">
        <v>3670000</v>
      </c>
      <c r="G25" s="23" t="n">
        <v>60163.93</v>
      </c>
      <c r="H25" s="20" t="n">
        <v>0</v>
      </c>
      <c r="I25" s="21">
        <f>IF(C25&gt;0, H25/C25, 0)</f>
        <v/>
      </c>
      <c r="J25" s="19" t="inlineStr">
        <is>
          <t>JETOUR (1 шт., 100%)</t>
        </is>
      </c>
    </row>
    <row r="26">
      <c r="A26" s="24" t="inlineStr">
        <is>
          <t>Йошкар-Ола</t>
        </is>
      </c>
      <c r="B26" s="24" t="inlineStr">
        <is>
          <t>Марий Эл</t>
        </is>
      </c>
      <c r="C26" s="25" t="n">
        <v>1</v>
      </c>
      <c r="D26" s="26">
        <f>C26/$C$28</f>
        <v/>
      </c>
      <c r="E26" s="27" t="n">
        <v>2550000</v>
      </c>
      <c r="F26" s="27" t="n">
        <v>2550000</v>
      </c>
      <c r="G26" s="28" t="n">
        <v>41803.28</v>
      </c>
      <c r="H26" s="25" t="n">
        <v>0</v>
      </c>
      <c r="I26" s="26">
        <f>IF(C26&gt;0, H26/C26, 0)</f>
        <v/>
      </c>
      <c r="J26" s="24" t="inlineStr">
        <is>
          <t>SOUEAST (1 шт., 100%)</t>
        </is>
      </c>
    </row>
    <row r="27">
      <c r="A27" s="19" t="inlineStr">
        <is>
          <t>Чебоксары</t>
        </is>
      </c>
      <c r="B27" s="19" t="inlineStr">
        <is>
          <t>Чувашия</t>
        </is>
      </c>
      <c r="C27" s="20" t="n">
        <v>0</v>
      </c>
      <c r="D27" s="21">
        <f>C27/$C$28</f>
        <v/>
      </c>
      <c r="E27" s="22" t="n">
        <v>0</v>
      </c>
      <c r="F27" s="22" t="n">
        <v>0</v>
      </c>
      <c r="G27" s="23" t="n">
        <v>0</v>
      </c>
      <c r="H27" s="20" t="n">
        <v>0</v>
      </c>
      <c r="I27" s="21">
        <f>IF(C27&gt;0, H27/C27, 0)</f>
        <v/>
      </c>
      <c r="J27" s="19" t="inlineStr">
        <is>
          <t>Прямых продаж нет (0 шт.)</t>
        </is>
      </c>
    </row>
    <row r="28">
      <c r="A28" s="15" t="inlineStr">
        <is>
          <t>ИТОГО</t>
        </is>
      </c>
      <c r="B28" s="15" t="inlineStr">
        <is>
          <t>Все города</t>
        </is>
      </c>
      <c r="C28" s="16">
        <f>SUM(C21:C27)</f>
        <v/>
      </c>
      <c r="D28" s="17">
        <f>SUM(D21:D27)</f>
        <v/>
      </c>
      <c r="E28" s="29">
        <f>SUM(E21:E27)</f>
        <v/>
      </c>
      <c r="F28" s="29">
        <f>E28/C28</f>
        <v/>
      </c>
      <c r="G28" s="30">
        <f>SUM(G21:G27)</f>
        <v/>
      </c>
      <c r="H28" s="16">
        <f>SUM(H21:H27)</f>
        <v/>
      </c>
      <c r="I28" s="17">
        <f>H28/C28</f>
        <v/>
      </c>
      <c r="J28" s="15" t="inlineStr">
        <is>
          <t>5 брендов</t>
        </is>
      </c>
    </row>
    <row r="30">
      <c r="A30" s="5" t="inlineStr">
        <is>
          <t>3. Рейтинг брендов по исследуемым регионам (Август 2026)</t>
        </is>
      </c>
    </row>
    <row r="31">
      <c r="A31" s="31" t="inlineStr">
        <is>
          <t>Бренд</t>
        </is>
      </c>
      <c r="B31" s="31" t="inlineStr">
        <is>
          <t>Продажи, шт.</t>
        </is>
      </c>
      <c r="C31" s="31" t="inlineStr">
        <is>
          <t>Доля рынка, %</t>
        </is>
      </c>
      <c r="D31" s="31" t="inlineStr">
        <is>
          <t>Объем продаж (GMV, ₽)</t>
        </is>
      </c>
      <c r="E31" s="31" t="inlineStr">
        <is>
          <t>Средний чек (₽)</t>
        </is>
      </c>
      <c r="F31" s="31" t="inlineStr">
        <is>
          <t>Выручка СберАвто (₽)</t>
        </is>
      </c>
      <c r="G31" s="31" t="inlineStr">
        <is>
          <t>Кредитов Сбера, шт.</t>
        </is>
      </c>
      <c r="H31" s="31" t="inlineStr">
        <is>
          <t>Популярные модели в регионах</t>
        </is>
      </c>
    </row>
    <row r="32">
      <c r="A32" s="24" t="inlineStr">
        <is>
          <t>JETOUR</t>
        </is>
      </c>
      <c r="B32" s="25" t="n">
        <v>22</v>
      </c>
      <c r="C32" s="26">
        <f>B32/$B$37</f>
        <v/>
      </c>
      <c r="D32" s="27" t="n">
        <v>58469800</v>
      </c>
      <c r="E32" s="27" t="n">
        <v>2657718.181818182</v>
      </c>
      <c r="F32" s="28" t="n">
        <v>828521.27</v>
      </c>
      <c r="G32" s="25" t="n">
        <v>2</v>
      </c>
      <c r="H32" s="24" t="inlineStr">
        <is>
          <t>DASHING (8), X70 PLUS (7), T1 (3), T2 (1), Прочие (3)</t>
        </is>
      </c>
    </row>
    <row r="33">
      <c r="A33" s="19" t="inlineStr">
        <is>
          <t>LADA</t>
        </is>
      </c>
      <c r="B33" s="20" t="n">
        <v>21</v>
      </c>
      <c r="C33" s="21">
        <f>B33/$B$37</f>
        <v/>
      </c>
      <c r="D33" s="22" t="n">
        <v>29384000</v>
      </c>
      <c r="E33" s="22" t="n">
        <v>1399238.095238095</v>
      </c>
      <c r="F33" s="23" t="n">
        <v>368000.01</v>
      </c>
      <c r="G33" s="20" t="n">
        <v>16</v>
      </c>
      <c r="H33" s="19" t="inlineStr">
        <is>
          <t>GRANTA / CROSS (13), NIVA / TRAVEL (7), VESTA (1)</t>
        </is>
      </c>
    </row>
    <row r="34">
      <c r="A34" s="24" t="inlineStr">
        <is>
          <t>SOUEAST</t>
        </is>
      </c>
      <c r="B34" s="25" t="n">
        <v>8</v>
      </c>
      <c r="C34" s="26">
        <f>B34/$B$37</f>
        <v/>
      </c>
      <c r="D34" s="27" t="n">
        <v>19660000</v>
      </c>
      <c r="E34" s="27" t="n">
        <v>2457500</v>
      </c>
      <c r="F34" s="28" t="n">
        <v>300983.6</v>
      </c>
      <c r="G34" s="25" t="n">
        <v>0</v>
      </c>
      <c r="H34" s="24" t="inlineStr">
        <is>
          <t>S06 (6), S07 (2)</t>
        </is>
      </c>
    </row>
    <row r="35">
      <c r="A35" s="19" t="inlineStr">
        <is>
          <t>CHERY &amp; TENET</t>
        </is>
      </c>
      <c r="B35" s="20" t="n">
        <v>1</v>
      </c>
      <c r="C35" s="21">
        <f>B35/$B$37</f>
        <v/>
      </c>
      <c r="D35" s="22" t="n">
        <v>2990000</v>
      </c>
      <c r="E35" s="22" t="n">
        <v>2990000</v>
      </c>
      <c r="F35" s="23" t="n">
        <v>36762.3</v>
      </c>
      <c r="G35" s="20" t="n">
        <v>0</v>
      </c>
      <c r="H35" s="19" t="inlineStr">
        <is>
          <t>TENET T7 (1)</t>
        </is>
      </c>
    </row>
    <row r="36">
      <c r="A36" s="24" t="inlineStr">
        <is>
          <t>GAC</t>
        </is>
      </c>
      <c r="B36" s="25" t="n">
        <v>1</v>
      </c>
      <c r="C36" s="26">
        <f>B36/$B$37</f>
        <v/>
      </c>
      <c r="D36" s="27" t="n">
        <v>3700000</v>
      </c>
      <c r="E36" s="27" t="n">
        <v>3700000</v>
      </c>
      <c r="F36" s="28" t="n">
        <v>60655.74</v>
      </c>
      <c r="G36" s="25" t="n">
        <v>0</v>
      </c>
      <c r="H36" s="24" t="inlineStr">
        <is>
          <t>GS4 (1)</t>
        </is>
      </c>
    </row>
    <row r="37">
      <c r="A37" s="15" t="inlineStr">
        <is>
          <t>ИТОГО</t>
        </is>
      </c>
      <c r="B37" s="16">
        <f>SUM(B32:B36)</f>
        <v/>
      </c>
      <c r="C37" s="17">
        <f>SUM(C32:C36)</f>
        <v/>
      </c>
      <c r="D37" s="29">
        <f>SUM(D32:D36)</f>
        <v/>
      </c>
      <c r="E37" s="29">
        <f>D37/B37</f>
        <v/>
      </c>
      <c r="F37" s="30">
        <f>SUM(F32:F36)</f>
        <v/>
      </c>
      <c r="G37" s="16">
        <f>SUM(G32:G36)</f>
        <v/>
      </c>
      <c r="H37" s="15" t="inlineStr">
        <is>
          <t>Всего: 5 брендов</t>
        </is>
      </c>
    </row>
  </sheetData>
  <mergeCells count="12">
    <mergeCell ref="A4:B4"/>
    <mergeCell ref="G4:H4"/>
    <mergeCell ref="E4:F4"/>
    <mergeCell ref="I5:K5"/>
    <mergeCell ref="C5:D5"/>
    <mergeCell ref="A5:B5"/>
    <mergeCell ref="A2:K2"/>
    <mergeCell ref="E5:F5"/>
    <mergeCell ref="G5:H5"/>
    <mergeCell ref="I4:K4"/>
    <mergeCell ref="A1:K1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30" customWidth="1" min="2" max="2"/>
    <col width="22" customWidth="1" min="3" max="3"/>
    <col width="28" customWidth="1" min="4" max="4"/>
    <col width="14" customWidth="1" min="5" max="5"/>
    <col width="14" customWidth="1" min="6" max="6"/>
    <col width="22" customWidth="1" min="7" max="7"/>
    <col width="22" customWidth="1" min="8" max="8"/>
    <col width="20" customWidth="1" min="9" max="9"/>
    <col width="26" customWidth="1" min="10" max="10"/>
    <col width="45" customWidth="1" min="11" max="11"/>
  </cols>
  <sheetData>
    <row r="1">
      <c r="A1" s="6" t="inlineStr">
        <is>
          <t>№</t>
        </is>
      </c>
      <c r="B1" s="6" t="inlineStr">
        <is>
          <t>Дилерский холдинг / Сеть</t>
        </is>
      </c>
      <c r="C1" s="6" t="inlineStr">
        <is>
          <t>Регион</t>
        </is>
      </c>
      <c r="D1" s="6" t="inlineStr">
        <is>
          <t>Города продаж</t>
        </is>
      </c>
      <c r="E1" s="6" t="inlineStr">
        <is>
          <t>Продажи, шт.</t>
        </is>
      </c>
      <c r="F1" s="6" t="inlineStr">
        <is>
          <t>Доля, %</t>
        </is>
      </c>
      <c r="G1" s="6" t="inlineStr">
        <is>
          <t>Объем продаж (GMV, ₽)</t>
        </is>
      </c>
      <c r="H1" s="6" t="inlineStr">
        <is>
          <t>Выручка СберАвто (₽)</t>
        </is>
      </c>
      <c r="I1" s="6" t="inlineStr">
        <is>
          <t>Кредитов Сбера, шт.</t>
        </is>
      </c>
      <c r="J1" s="6" t="inlineStr">
        <is>
          <t>Проданные бренды</t>
        </is>
      </c>
      <c r="K1" s="6" t="inlineStr">
        <is>
          <t>Юридические лица / Названия в CRM</t>
        </is>
      </c>
    </row>
    <row r="2">
      <c r="A2" s="32" t="n">
        <v>1</v>
      </c>
      <c r="B2" s="24" t="inlineStr">
        <is>
          <t>ООО «Автомаркет» (Ижевск)</t>
        </is>
      </c>
      <c r="C2" s="24" t="inlineStr">
        <is>
          <t>Удмуртия</t>
        </is>
      </c>
      <c r="D2" s="24" t="inlineStr">
        <is>
          <t>Ижевск</t>
        </is>
      </c>
      <c r="E2" s="25" t="n">
        <v>20</v>
      </c>
      <c r="F2" s="26">
        <f>E2/$E$13</f>
        <v/>
      </c>
      <c r="G2" s="27" t="n">
        <v>53199900</v>
      </c>
      <c r="H2" s="28" t="n">
        <v>720817.9800000001</v>
      </c>
      <c r="I2" s="25" t="n">
        <v>1</v>
      </c>
      <c r="J2" s="24" t="inlineStr">
        <is>
          <t>JETOUR, SOUEAST</t>
        </is>
      </c>
      <c r="K2" s="24" t="inlineStr">
        <is>
          <t>ONLINE ООО "АВТОМАРКЕТ"</t>
        </is>
      </c>
    </row>
    <row r="3">
      <c r="A3" s="33" t="n">
        <v>2</v>
      </c>
      <c r="B3" s="19" t="inlineStr">
        <is>
          <t>ГК «Башавтоком»</t>
        </is>
      </c>
      <c r="C3" s="19" t="inlineStr">
        <is>
          <t>Башкирия</t>
        </is>
      </c>
      <c r="D3" s="19" t="inlineStr">
        <is>
          <t>Стерлитамак, Уфа</t>
        </is>
      </c>
      <c r="E3" s="20" t="n">
        <v>15</v>
      </c>
      <c r="F3" s="21">
        <f>E3/$E$13</f>
        <v/>
      </c>
      <c r="G3" s="22" t="n">
        <v>20633000</v>
      </c>
      <c r="H3" s="23" t="n">
        <v>259545.09</v>
      </c>
      <c r="I3" s="20" t="n">
        <v>14</v>
      </c>
      <c r="J3" s="19" t="inlineStr">
        <is>
          <t>LADA</t>
        </is>
      </c>
      <c r="K3" s="19" t="inlineStr">
        <is>
          <t>ONLINE Башавтоком (ООО "БАШАВТОКОМ-В") | Online ГК Башавтоком, ООО "СТРОЙМОСТИНВЕСТ"</t>
        </is>
      </c>
    </row>
    <row r="4">
      <c r="A4" s="32" t="n">
        <v>3</v>
      </c>
      <c r="B4" s="24" t="inlineStr">
        <is>
          <t>ТД «Армада-Авто»</t>
        </is>
      </c>
      <c r="C4" s="24" t="inlineStr">
        <is>
          <t>Башкирия</t>
        </is>
      </c>
      <c r="D4" s="24" t="inlineStr">
        <is>
          <t>Башкортостан (прочие), Октябрьский</t>
        </is>
      </c>
      <c r="E4" s="25" t="n">
        <v>6</v>
      </c>
      <c r="F4" s="26">
        <f>E4/$E$13</f>
        <v/>
      </c>
      <c r="G4" s="27" t="n">
        <v>15499000</v>
      </c>
      <c r="H4" s="28" t="n">
        <v>254081.97</v>
      </c>
      <c r="I4" s="25" t="n">
        <v>0</v>
      </c>
      <c r="J4" s="24" t="inlineStr">
        <is>
          <t>JETOUR, SOUEAST</t>
        </is>
      </c>
      <c r="K4" s="24" t="inlineStr">
        <is>
          <t>ONLINE ООО "ТД АРМАДА-АВТО"</t>
        </is>
      </c>
    </row>
    <row r="5">
      <c r="A5" s="33" t="n">
        <v>4</v>
      </c>
      <c r="B5" s="19" t="inlineStr">
        <is>
          <t>«Темп Авто Кубань» / Олимп</t>
        </is>
      </c>
      <c r="C5" s="19" t="inlineStr">
        <is>
          <t>Башкирия</t>
        </is>
      </c>
      <c r="D5" s="19" t="inlineStr">
        <is>
          <t>Уфа</t>
        </is>
      </c>
      <c r="E5" s="20" t="n">
        <v>3</v>
      </c>
      <c r="F5" s="21">
        <f>E5/$E$13</f>
        <v/>
      </c>
      <c r="G5" s="22" t="n">
        <v>3337000</v>
      </c>
      <c r="H5" s="23" t="n">
        <v>41889.35</v>
      </c>
      <c r="I5" s="20" t="n">
        <v>1</v>
      </c>
      <c r="J5" s="19" t="inlineStr">
        <is>
          <t>LADA</t>
        </is>
      </c>
      <c r="K5" s="19" t="inlineStr">
        <is>
          <t>ONLINE Олимп (ООО "ТЕМП АВТО КУБАНЬ")</t>
        </is>
      </c>
    </row>
    <row r="6">
      <c r="A6" s="32" t="n">
        <v>5</v>
      </c>
      <c r="B6" s="24" t="inlineStr">
        <is>
          <t>ГК «Форвард-Авто»</t>
        </is>
      </c>
      <c r="C6" s="24" t="inlineStr">
        <is>
          <t>Удмуртия</t>
        </is>
      </c>
      <c r="D6" s="24" t="inlineStr">
        <is>
          <t>Ижевск</t>
        </is>
      </c>
      <c r="E6" s="25" t="n">
        <v>2</v>
      </c>
      <c r="F6" s="26">
        <f>E6/$E$13</f>
        <v/>
      </c>
      <c r="G6" s="27" t="n">
        <v>3444000</v>
      </c>
      <c r="H6" s="28" t="n">
        <v>42344.26</v>
      </c>
      <c r="I6" s="25" t="n">
        <v>1</v>
      </c>
      <c r="J6" s="24" t="inlineStr">
        <is>
          <t>LADA</t>
        </is>
      </c>
      <c r="K6" s="24" t="inlineStr">
        <is>
          <t>ONLINE ФОРВАРД Авто Ижевск (ООО "ФОРВАРД-АВТО")</t>
        </is>
      </c>
    </row>
    <row r="7">
      <c r="A7" s="33" t="n">
        <v>6</v>
      </c>
      <c r="B7" s="19" t="inlineStr">
        <is>
          <t>ООО «МС Моторс Зубово»</t>
        </is>
      </c>
      <c r="C7" s="19" t="inlineStr">
        <is>
          <t>Башкирия</t>
        </is>
      </c>
      <c r="D7" s="19" t="inlineStr">
        <is>
          <t>Уфа</t>
        </is>
      </c>
      <c r="E7" s="20" t="n">
        <v>2</v>
      </c>
      <c r="F7" s="21">
        <f>E7/$E$13</f>
        <v/>
      </c>
      <c r="G7" s="22" t="n">
        <v>4860000</v>
      </c>
      <c r="H7" s="23" t="n">
        <v>79672.13</v>
      </c>
      <c r="I7" s="20" t="n">
        <v>1</v>
      </c>
      <c r="J7" s="19" t="inlineStr">
        <is>
          <t>JETOUR</t>
        </is>
      </c>
      <c r="K7" s="19" t="inlineStr">
        <is>
          <t>ООО "МС МОТОРС ЗУБОВО" ONLINE</t>
        </is>
      </c>
    </row>
    <row r="8">
      <c r="A8" s="32" t="n">
        <v>7</v>
      </c>
      <c r="B8" s="24" t="inlineStr">
        <is>
          <t>«Дактор Авто»</t>
        </is>
      </c>
      <c r="C8" s="24" t="inlineStr">
        <is>
          <t>Башкирия</t>
        </is>
      </c>
      <c r="D8" s="24" t="inlineStr">
        <is>
          <t>Уфа</t>
        </is>
      </c>
      <c r="E8" s="25" t="n">
        <v>1</v>
      </c>
      <c r="F8" s="26">
        <f>E8/$E$13</f>
        <v/>
      </c>
      <c r="G8" s="27" t="n">
        <v>2020900</v>
      </c>
      <c r="H8" s="28" t="n">
        <v>33129.51</v>
      </c>
      <c r="I8" s="25" t="n">
        <v>0</v>
      </c>
      <c r="J8" s="24" t="inlineStr">
        <is>
          <t>JETOUR</t>
        </is>
      </c>
      <c r="K8" s="24" t="inlineStr">
        <is>
          <t>Online ДАКТОР УФА СЕЛЬСКАЯ</t>
        </is>
      </c>
    </row>
    <row r="9">
      <c r="A9" s="33" t="n">
        <v>8</v>
      </c>
      <c r="B9" s="19" t="inlineStr">
        <is>
          <t>«Русская Ладья» (LADA)</t>
        </is>
      </c>
      <c r="C9" s="19" t="inlineStr">
        <is>
          <t>Удмуртия</t>
        </is>
      </c>
      <c r="D9" s="19" t="inlineStr">
        <is>
          <t>Ижевск</t>
        </is>
      </c>
      <c r="E9" s="20" t="n">
        <v>1</v>
      </c>
      <c r="F9" s="21">
        <f>E9/$E$13</f>
        <v/>
      </c>
      <c r="G9" s="22" t="n">
        <v>1970000</v>
      </c>
      <c r="H9" s="23" t="n">
        <v>24221.31</v>
      </c>
      <c r="I9" s="20" t="n">
        <v>0</v>
      </c>
      <c r="J9" s="19" t="inlineStr">
        <is>
          <t>LADA</t>
        </is>
      </c>
      <c r="K9" s="19" t="inlineStr">
        <is>
          <t>ONLINE LADA Русская Ладья (ООО "РУССКАЯ ЛАДЬЯ")</t>
        </is>
      </c>
    </row>
    <row r="10">
      <c r="A10" s="32" t="n">
        <v>9</v>
      </c>
      <c r="B10" s="24" t="inlineStr">
        <is>
          <t>ООО «Интерпартнер»</t>
        </is>
      </c>
      <c r="C10" s="24" t="inlineStr">
        <is>
          <t>Удмуртия</t>
        </is>
      </c>
      <c r="D10" s="24" t="inlineStr">
        <is>
          <t>Ижевск</t>
        </is>
      </c>
      <c r="E10" s="25" t="n">
        <v>1</v>
      </c>
      <c r="F10" s="26">
        <f>E10/$E$13</f>
        <v/>
      </c>
      <c r="G10" s="27" t="n">
        <v>2990000</v>
      </c>
      <c r="H10" s="28" t="n">
        <v>36762.3</v>
      </c>
      <c r="I10" s="25" t="n">
        <v>0</v>
      </c>
      <c r="J10" s="24" t="inlineStr">
        <is>
          <t>CHERY &amp; TENET</t>
        </is>
      </c>
      <c r="K10" s="24" t="inlineStr">
        <is>
          <t>ONLINE ИНТЕРПАРТНЕР (ООО ФИРМА "ИНТЕРПАРТНЕР")</t>
        </is>
      </c>
    </row>
    <row r="11">
      <c r="A11" s="33" t="n">
        <v>10</v>
      </c>
      <c r="B11" s="19" t="inlineStr">
        <is>
          <t>ООО «Леон»</t>
        </is>
      </c>
      <c r="C11" s="19" t="inlineStr">
        <is>
          <t>Марий Эл</t>
        </is>
      </c>
      <c r="D11" s="19" t="inlineStr">
        <is>
          <t>Йошкар-Ола</t>
        </is>
      </c>
      <c r="E11" s="20" t="n">
        <v>1</v>
      </c>
      <c r="F11" s="21">
        <f>E11/$E$13</f>
        <v/>
      </c>
      <c r="G11" s="22" t="n">
        <v>2550000</v>
      </c>
      <c r="H11" s="23" t="n">
        <v>41803.28</v>
      </c>
      <c r="I11" s="20" t="n">
        <v>0</v>
      </c>
      <c r="J11" s="19" t="inlineStr">
        <is>
          <t>SOUEAST</t>
        </is>
      </c>
      <c r="K11" s="19" t="inlineStr">
        <is>
          <t>Online ООО "ЛЕОН"</t>
        </is>
      </c>
    </row>
    <row r="12">
      <c r="A12" s="32" t="n">
        <v>11</v>
      </c>
      <c r="B12" s="24" t="inlineStr">
        <is>
          <t>ООО «Урал-Моторс»</t>
        </is>
      </c>
      <c r="C12" s="24" t="inlineStr">
        <is>
          <t>Башкирия</t>
        </is>
      </c>
      <c r="D12" s="24" t="inlineStr">
        <is>
          <t>Стерлитамак</t>
        </is>
      </c>
      <c r="E12" s="25" t="n">
        <v>1</v>
      </c>
      <c r="F12" s="26">
        <f>E12/$E$13</f>
        <v/>
      </c>
      <c r="G12" s="27" t="n">
        <v>3700000</v>
      </c>
      <c r="H12" s="28" t="n">
        <v>60655.74</v>
      </c>
      <c r="I12" s="25" t="n">
        <v>0</v>
      </c>
      <c r="J12" s="24" t="inlineStr">
        <is>
          <t>GAC</t>
        </is>
      </c>
      <c r="K12" s="24" t="inlineStr">
        <is>
          <t>ООО "УРАЛ-МОТОРС" ONLINE</t>
        </is>
      </c>
    </row>
    <row r="13">
      <c r="A13" s="34" t="inlineStr">
        <is>
          <t>ИТОГО</t>
        </is>
      </c>
      <c r="B13" s="15" t="inlineStr">
        <is>
          <t>Всего сетей: 11</t>
        </is>
      </c>
      <c r="C13" s="15" t="inlineStr">
        <is>
          <t>4 региона</t>
        </is>
      </c>
      <c r="D13" s="15" t="inlineStr">
        <is>
          <t>Все города</t>
        </is>
      </c>
      <c r="E13" s="16">
        <f>SUM(E2:E12)</f>
        <v/>
      </c>
      <c r="F13" s="17">
        <f>SUM(F2:F12)</f>
        <v/>
      </c>
      <c r="G13" s="29">
        <f>SUM(G2:G12)</f>
        <v/>
      </c>
      <c r="H13" s="30">
        <f>SUM(H2:H12)</f>
        <v/>
      </c>
      <c r="I13" s="16">
        <f>SUM(I2:I12)</f>
        <v/>
      </c>
      <c r="J13" s="15" t="inlineStr">
        <is>
          <t>5 брендов</t>
        </is>
      </c>
      <c r="K13" s="15" t="inlineStr">
        <is>
          <t>Все автосалоны</t>
        </is>
      </c>
    </row>
  </sheetData>
  <autoFilter ref="A1:K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14" customWidth="1" min="2" max="2"/>
    <col width="14" customWidth="1" min="3" max="3"/>
    <col width="22" customWidth="1" min="4" max="4"/>
    <col width="20" customWidth="1" min="5" max="5"/>
    <col width="18" customWidth="1" min="6" max="6"/>
    <col width="20" customWidth="1" min="7" max="7"/>
    <col width="22" customWidth="1" min="8" max="8"/>
    <col width="28" customWidth="1" min="9" max="9"/>
    <col width="38" customWidth="1" min="10" max="10"/>
    <col width="18" customWidth="1" min="11" max="11"/>
    <col width="16" customWidth="1" min="12" max="12"/>
    <col width="20" customWidth="1" min="13" max="13"/>
    <col width="20" customWidth="1" min="14" max="14"/>
    <col width="20" customWidth="1" min="15" max="15"/>
    <col width="22" customWidth="1" min="16" max="16"/>
    <col width="22" customWidth="1" min="17" max="17"/>
  </cols>
  <sheetData>
    <row r="1">
      <c r="A1" s="31" t="inlineStr">
        <is>
          <t>№</t>
        </is>
      </c>
      <c r="B1" s="31" t="inlineStr">
        <is>
          <t>ID сделки</t>
        </is>
      </c>
      <c r="C1" s="31" t="inlineStr">
        <is>
          <t>Дата</t>
        </is>
      </c>
      <c r="D1" s="31" t="inlineStr">
        <is>
          <t>Регион</t>
        </is>
      </c>
      <c r="E1" s="31" t="inlineStr">
        <is>
          <t>Город продажи</t>
        </is>
      </c>
      <c r="F1" s="31" t="inlineStr">
        <is>
          <t>Бренд</t>
        </is>
      </c>
      <c r="G1" s="31" t="inlineStr">
        <is>
          <t>Модель автомобиля</t>
        </is>
      </c>
      <c r="H1" s="31" t="inlineStr">
        <is>
          <t>VIN номер</t>
        </is>
      </c>
      <c r="I1" s="31" t="inlineStr">
        <is>
          <t>Дилерский холдинг</t>
        </is>
      </c>
      <c r="J1" s="31" t="inlineStr">
        <is>
          <t>Компания / Дилер в CRM</t>
        </is>
      </c>
      <c r="K1" s="31" t="inlineStr">
        <is>
          <t>Тип сделки (B2C)</t>
        </is>
      </c>
      <c r="L1" s="31" t="inlineStr">
        <is>
          <t>Кредит Сбера</t>
        </is>
      </c>
      <c r="M1" s="31" t="inlineStr">
        <is>
          <t>Стоимость авто (₽)</t>
        </is>
      </c>
      <c r="N1" s="31" t="inlineStr">
        <is>
          <t>Комиссия СберАвто (₽)</t>
        </is>
      </c>
      <c r="O1" s="31" t="inlineStr">
        <is>
          <t>Выручка без НДС (₽)</t>
        </is>
      </c>
      <c r="P1" s="31" t="inlineStr">
        <is>
          <t>Менеджер сделки</t>
        </is>
      </c>
      <c r="Q1" s="31" t="inlineStr">
        <is>
          <t>Старший менеджер</t>
        </is>
      </c>
    </row>
    <row r="2">
      <c r="A2" s="32" t="n">
        <v>1</v>
      </c>
      <c r="B2" s="32" t="inlineStr">
        <is>
          <t>518656</t>
        </is>
      </c>
      <c r="C2" s="32" t="inlineStr">
        <is>
          <t>17.08.2026</t>
        </is>
      </c>
      <c r="D2" s="24" t="inlineStr">
        <is>
          <t>Башкирия</t>
        </is>
      </c>
      <c r="E2" s="24" t="inlineStr">
        <is>
          <t>Башкортостан (прочие)</t>
        </is>
      </c>
      <c r="F2" s="24" t="inlineStr">
        <is>
          <t>JETOUR</t>
        </is>
      </c>
      <c r="G2" s="24" t="inlineStr">
        <is>
          <t>T1</t>
        </is>
      </c>
      <c r="H2" s="32" t="inlineStr">
        <is>
          <t>LVTDD24BXTDB73178</t>
        </is>
      </c>
      <c r="I2" s="24" t="inlineStr">
        <is>
          <t>ТД «Армада-Авто»</t>
        </is>
      </c>
      <c r="J2" s="24" t="inlineStr">
        <is>
          <t>ONLINE ООО "ТД АРМАДА-АВТО"</t>
        </is>
      </c>
      <c r="K2" s="24" t="inlineStr">
        <is>
          <t>МП2</t>
        </is>
      </c>
      <c r="L2" s="35" t="inlineStr">
        <is>
          <t>Нет</t>
        </is>
      </c>
      <c r="M2" s="27" t="n">
        <v>3670000</v>
      </c>
      <c r="N2" s="28" t="n">
        <v>73400</v>
      </c>
      <c r="O2" s="28" t="n">
        <v>60163.93</v>
      </c>
      <c r="P2" s="24" t="inlineStr">
        <is>
          <t>Лобко Игорь</t>
        </is>
      </c>
      <c r="Q2" s="24" t="inlineStr">
        <is>
          <t>Восконян Алексей</t>
        </is>
      </c>
    </row>
    <row r="3">
      <c r="A3" s="33" t="n">
        <v>2</v>
      </c>
      <c r="B3" s="33" t="inlineStr">
        <is>
          <t>534514</t>
        </is>
      </c>
      <c r="C3" s="33" t="inlineStr">
        <is>
          <t>31.08.2026</t>
        </is>
      </c>
      <c r="D3" s="19" t="inlineStr">
        <is>
          <t>Башкирия</t>
        </is>
      </c>
      <c r="E3" s="19" t="inlineStr">
        <is>
          <t>Октябрьский</t>
        </is>
      </c>
      <c r="F3" s="19" t="inlineStr">
        <is>
          <t>JETOUR</t>
        </is>
      </c>
      <c r="G3" s="19" t="inlineStr">
        <is>
          <t>X70PLUS</t>
        </is>
      </c>
      <c r="H3" s="33" t="inlineStr">
        <is>
          <t>EC37CUSM1TC006211</t>
        </is>
      </c>
      <c r="I3" s="19" t="inlineStr">
        <is>
          <t>ТД «Армада-Авто»</t>
        </is>
      </c>
      <c r="J3" s="19" t="inlineStr">
        <is>
          <t>ONLINE ООО "ТД АРМАДА-АВТО"</t>
        </is>
      </c>
      <c r="K3" s="19" t="inlineStr">
        <is>
          <t>Передача лида</t>
        </is>
      </c>
      <c r="L3" s="35" t="inlineStr">
        <is>
          <t>Нет</t>
        </is>
      </c>
      <c r="M3" s="22" t="n">
        <v>2549000</v>
      </c>
      <c r="N3" s="23" t="n">
        <v>50980</v>
      </c>
      <c r="O3" s="23" t="n">
        <v>41786.89</v>
      </c>
      <c r="P3" s="19" t="inlineStr">
        <is>
          <t>Григорян Михаил</t>
        </is>
      </c>
      <c r="Q3" s="19" t="inlineStr">
        <is>
          <t>Москот Владислав</t>
        </is>
      </c>
    </row>
    <row r="4">
      <c r="A4" s="32" t="n">
        <v>3</v>
      </c>
      <c r="B4" s="32" t="inlineStr">
        <is>
          <t>511670</t>
        </is>
      </c>
      <c r="C4" s="32" t="inlineStr">
        <is>
          <t>09.08.2026</t>
        </is>
      </c>
      <c r="D4" s="24" t="inlineStr">
        <is>
          <t>Башкирия</t>
        </is>
      </c>
      <c r="E4" s="24" t="inlineStr">
        <is>
          <t>Октябрьский</t>
        </is>
      </c>
      <c r="F4" s="24" t="inlineStr">
        <is>
          <t>JETOUR</t>
        </is>
      </c>
      <c r="G4" s="24" t="inlineStr">
        <is>
          <t>Х70+</t>
        </is>
      </c>
      <c r="H4" s="32" t="inlineStr">
        <is>
          <t>EC37LUSM2SC004224</t>
        </is>
      </c>
      <c r="I4" s="24" t="inlineStr">
        <is>
          <t>ТД «Армада-Авто»</t>
        </is>
      </c>
      <c r="J4" s="24" t="inlineStr">
        <is>
          <t>ONLINE ООО "ТД АРМАДА-АВТО"</t>
        </is>
      </c>
      <c r="K4" s="24" t="inlineStr">
        <is>
          <t>Online</t>
        </is>
      </c>
      <c r="L4" s="35" t="inlineStr">
        <is>
          <t>Нет</t>
        </is>
      </c>
      <c r="M4" s="27" t="n">
        <v>2530000</v>
      </c>
      <c r="N4" s="28" t="n">
        <v>50600</v>
      </c>
      <c r="O4" s="28" t="n">
        <v>41475.41</v>
      </c>
      <c r="P4" s="24" t="inlineStr">
        <is>
          <t>Воронин Алексей</t>
        </is>
      </c>
      <c r="Q4" s="24" t="inlineStr">
        <is>
          <t>Восконян Алексей</t>
        </is>
      </c>
    </row>
    <row r="5">
      <c r="A5" s="33" t="n">
        <v>4</v>
      </c>
      <c r="B5" s="33" t="inlineStr">
        <is>
          <t>531734</t>
        </is>
      </c>
      <c r="C5" s="33" t="inlineStr">
        <is>
          <t>28.08.2026</t>
        </is>
      </c>
      <c r="D5" s="19" t="inlineStr">
        <is>
          <t>Башкирия</t>
        </is>
      </c>
      <c r="E5" s="19" t="inlineStr">
        <is>
          <t>Октябрьский</t>
        </is>
      </c>
      <c r="F5" s="19" t="inlineStr">
        <is>
          <t>JETOUR</t>
        </is>
      </c>
      <c r="G5" s="19" t="inlineStr">
        <is>
          <t>DASHING</t>
        </is>
      </c>
      <c r="H5" s="33" t="inlineStr">
        <is>
          <t>EC3DCUFD1TC015973</t>
        </is>
      </c>
      <c r="I5" s="19" t="inlineStr">
        <is>
          <t>ТД «Армада-Авто»</t>
        </is>
      </c>
      <c r="J5" s="19" t="inlineStr">
        <is>
          <t>ONLINE ООО "ТД АРМАДА-АВТО"</t>
        </is>
      </c>
      <c r="K5" s="19" t="inlineStr">
        <is>
          <t>МП2</t>
        </is>
      </c>
      <c r="L5" s="35" t="inlineStr">
        <is>
          <t>Нет</t>
        </is>
      </c>
      <c r="M5" s="22" t="n">
        <v>2150000</v>
      </c>
      <c r="N5" s="23" t="n">
        <v>43000</v>
      </c>
      <c r="O5" s="23" t="n">
        <v>35245.9</v>
      </c>
      <c r="P5" s="19" t="inlineStr">
        <is>
          <t>Фокин Борис</t>
        </is>
      </c>
      <c r="Q5" s="19" t="inlineStr">
        <is>
          <t>Гамаюнов Вячеслав</t>
        </is>
      </c>
    </row>
    <row r="6">
      <c r="A6" s="32" t="n">
        <v>5</v>
      </c>
      <c r="B6" s="32" t="inlineStr">
        <is>
          <t>532294</t>
        </is>
      </c>
      <c r="C6" s="32" t="inlineStr">
        <is>
          <t>28.08.2026</t>
        </is>
      </c>
      <c r="D6" s="24" t="inlineStr">
        <is>
          <t>Башкирия</t>
        </is>
      </c>
      <c r="E6" s="24" t="inlineStr">
        <is>
          <t>Октябрьский</t>
        </is>
      </c>
      <c r="F6" s="24" t="inlineStr">
        <is>
          <t>SOUEAST</t>
        </is>
      </c>
      <c r="G6" s="24" t="inlineStr">
        <is>
          <t>S06</t>
        </is>
      </c>
      <c r="H6" s="32" t="inlineStr">
        <is>
          <t>EC3DCUFD1TC000406</t>
        </is>
      </c>
      <c r="I6" s="24" t="inlineStr">
        <is>
          <t>ТД «Армада-Авто»</t>
        </is>
      </c>
      <c r="J6" s="24" t="inlineStr">
        <is>
          <t>ONLINE ООО "ТД АРМАДА-АВТО"</t>
        </is>
      </c>
      <c r="K6" s="24" t="inlineStr">
        <is>
          <t>МП2</t>
        </is>
      </c>
      <c r="L6" s="35" t="inlineStr">
        <is>
          <t>Нет</t>
        </is>
      </c>
      <c r="M6" s="27" t="n">
        <v>2350000</v>
      </c>
      <c r="N6" s="28" t="n">
        <v>47000</v>
      </c>
      <c r="O6" s="28" t="n">
        <v>38524.59</v>
      </c>
      <c r="P6" s="24" t="inlineStr">
        <is>
          <t>Фокин Борис</t>
        </is>
      </c>
      <c r="Q6" s="24" t="inlineStr">
        <is>
          <t>Гамаюнов Вячеслав</t>
        </is>
      </c>
    </row>
    <row r="7">
      <c r="A7" s="33" t="n">
        <v>6</v>
      </c>
      <c r="B7" s="33" t="inlineStr">
        <is>
          <t>524322</t>
        </is>
      </c>
      <c r="C7" s="33" t="inlineStr">
        <is>
          <t>19.08.2026</t>
        </is>
      </c>
      <c r="D7" s="19" t="inlineStr">
        <is>
          <t>Башкирия</t>
        </is>
      </c>
      <c r="E7" s="19" t="inlineStr">
        <is>
          <t>Октябрьский</t>
        </is>
      </c>
      <c r="F7" s="19" t="inlineStr">
        <is>
          <t>SOUEAST</t>
        </is>
      </c>
      <c r="G7" s="19" t="inlineStr">
        <is>
          <t>S06</t>
        </is>
      </c>
      <c r="H7" s="33" t="inlineStr">
        <is>
          <t>EC3DCUFD0TC000719</t>
        </is>
      </c>
      <c r="I7" s="19" t="inlineStr">
        <is>
          <t>ТД «Армада-Авто»</t>
        </is>
      </c>
      <c r="J7" s="19" t="inlineStr">
        <is>
          <t>ONLINE ООО "ТД АРМАДА-АВТО"</t>
        </is>
      </c>
      <c r="K7" s="19" t="inlineStr">
        <is>
          <t>Online</t>
        </is>
      </c>
      <c r="L7" s="35" t="inlineStr">
        <is>
          <t>Нет</t>
        </is>
      </c>
      <c r="M7" s="22" t="n">
        <v>2250000</v>
      </c>
      <c r="N7" s="23" t="n">
        <v>45000</v>
      </c>
      <c r="O7" s="23" t="n">
        <v>36885.25</v>
      </c>
      <c r="P7" s="19" t="inlineStr">
        <is>
          <t>Григорян Михаил</t>
        </is>
      </c>
      <c r="Q7" s="19" t="inlineStr">
        <is>
          <t>Москот Владислав</t>
        </is>
      </c>
    </row>
    <row r="8">
      <c r="A8" s="32" t="n">
        <v>7</v>
      </c>
      <c r="B8" s="32" t="inlineStr">
        <is>
          <t>528212</t>
        </is>
      </c>
      <c r="C8" s="32" t="inlineStr">
        <is>
          <t>26.08.2026</t>
        </is>
      </c>
      <c r="D8" s="24" t="inlineStr">
        <is>
          <t>Башкирия</t>
        </is>
      </c>
      <c r="E8" s="24" t="inlineStr">
        <is>
          <t>Стерлитамак</t>
        </is>
      </c>
      <c r="F8" s="24" t="inlineStr">
        <is>
          <t>GAC</t>
        </is>
      </c>
      <c r="G8" s="24" t="inlineStr">
        <is>
          <t>GS4</t>
        </is>
      </c>
      <c r="H8" s="32" t="inlineStr">
        <is>
          <t>LMGAE3G80T1004612</t>
        </is>
      </c>
      <c r="I8" s="24" t="inlineStr">
        <is>
          <t>ООО «Урал-Моторс»</t>
        </is>
      </c>
      <c r="J8" s="24" t="inlineStr">
        <is>
          <t>ООО "УРАЛ-МОТОРС" ONLINE</t>
        </is>
      </c>
      <c r="K8" s="24" t="inlineStr">
        <is>
          <t>МП2</t>
        </is>
      </c>
      <c r="L8" s="35" t="inlineStr">
        <is>
          <t>Нет</t>
        </is>
      </c>
      <c r="M8" s="27" t="n">
        <v>3700000</v>
      </c>
      <c r="N8" s="28" t="n">
        <v>74000</v>
      </c>
      <c r="O8" s="28" t="n">
        <v>60655.74</v>
      </c>
      <c r="P8" s="24" t="inlineStr">
        <is>
          <t>Фокин Борис</t>
        </is>
      </c>
      <c r="Q8" s="24" t="inlineStr">
        <is>
          <t>Гамаюнов Вячеслав</t>
        </is>
      </c>
    </row>
    <row r="9">
      <c r="A9" s="33" t="n">
        <v>8</v>
      </c>
      <c r="B9" s="33" t="inlineStr">
        <is>
          <t>517190</t>
        </is>
      </c>
      <c r="C9" s="33" t="inlineStr">
        <is>
          <t>15.08.2026</t>
        </is>
      </c>
      <c r="D9" s="19" t="inlineStr">
        <is>
          <t>Башкирия</t>
        </is>
      </c>
      <c r="E9" s="19" t="inlineStr">
        <is>
          <t>Стерлитамак</t>
        </is>
      </c>
      <c r="F9" s="19" t="inlineStr">
        <is>
          <t>LADA</t>
        </is>
      </c>
      <c r="G9" s="19" t="inlineStr">
        <is>
          <t>NIVA</t>
        </is>
      </c>
      <c r="H9" s="33" t="inlineStr">
        <is>
          <t>XTA212310V1005472</t>
        </is>
      </c>
      <c r="I9" s="19" t="inlineStr">
        <is>
          <t>ГК «Башавтоком»</t>
        </is>
      </c>
      <c r="J9" s="19" t="inlineStr">
        <is>
          <t>ONLINE Башавтоком (ООО "БАШАВТОКОМ-В")</t>
        </is>
      </c>
      <c r="K9" s="19" t="inlineStr">
        <is>
          <t>ФДЦ+ГП</t>
        </is>
      </c>
      <c r="L9" s="36" t="inlineStr">
        <is>
          <t>Да</t>
        </is>
      </c>
      <c r="M9" s="22" t="n">
        <v>1810000</v>
      </c>
      <c r="N9" s="23" t="n">
        <v>27150</v>
      </c>
      <c r="O9" s="23" t="n">
        <v>22254.1</v>
      </c>
      <c r="P9" s="19" t="inlineStr">
        <is>
          <t>Григорян Михаил</t>
        </is>
      </c>
      <c r="Q9" s="19" t="inlineStr">
        <is>
          <t>Москот Владислав</t>
        </is>
      </c>
    </row>
    <row r="10">
      <c r="A10" s="32" t="n">
        <v>9</v>
      </c>
      <c r="B10" s="32" t="inlineStr">
        <is>
          <t>518072</t>
        </is>
      </c>
      <c r="C10" s="32" t="inlineStr">
        <is>
          <t>16.08.2026</t>
        </is>
      </c>
      <c r="D10" s="24" t="inlineStr">
        <is>
          <t>Башкирия</t>
        </is>
      </c>
      <c r="E10" s="24" t="inlineStr">
        <is>
          <t>Стерлитамак</t>
        </is>
      </c>
      <c r="F10" s="24" t="inlineStr">
        <is>
          <t>LADA</t>
        </is>
      </c>
      <c r="G10" s="24" t="inlineStr">
        <is>
          <t>NIVA TRAVEL</t>
        </is>
      </c>
      <c r="H10" s="32" t="inlineStr">
        <is>
          <t>XTA212310T1000782</t>
        </is>
      </c>
      <c r="I10" s="24" t="inlineStr">
        <is>
          <t>ГК «Башавтоком»</t>
        </is>
      </c>
      <c r="J10" s="24" t="inlineStr">
        <is>
          <t>ONLINE Башавтоком (ООО "БАШАВТОКОМ-В")</t>
        </is>
      </c>
      <c r="K10" s="24" t="inlineStr">
        <is>
          <t>ФДЦ+ГП</t>
        </is>
      </c>
      <c r="L10" s="36" t="inlineStr">
        <is>
          <t>Да</t>
        </is>
      </c>
      <c r="M10" s="27" t="n">
        <v>1789000</v>
      </c>
      <c r="N10" s="28" t="n">
        <v>26835</v>
      </c>
      <c r="O10" s="28" t="n">
        <v>21995.9</v>
      </c>
      <c r="P10" s="24" t="inlineStr">
        <is>
          <t>Харитонова Олеся</t>
        </is>
      </c>
      <c r="Q10" s="24" t="inlineStr">
        <is>
          <t>Москот Владислав</t>
        </is>
      </c>
    </row>
    <row r="11">
      <c r="A11" s="33" t="n">
        <v>10</v>
      </c>
      <c r="B11" s="33" t="inlineStr">
        <is>
          <t>514326</t>
        </is>
      </c>
      <c r="C11" s="33" t="inlineStr">
        <is>
          <t>12.08.2026</t>
        </is>
      </c>
      <c r="D11" s="19" t="inlineStr">
        <is>
          <t>Башкирия</t>
        </is>
      </c>
      <c r="E11" s="19" t="inlineStr">
        <is>
          <t>Стерлитамак</t>
        </is>
      </c>
      <c r="F11" s="19" t="inlineStr">
        <is>
          <t>LADA</t>
        </is>
      </c>
      <c r="G11" s="19" t="inlineStr">
        <is>
          <t>NIVA</t>
        </is>
      </c>
      <c r="H11" s="33" t="inlineStr">
        <is>
          <t>ХТА212310V1005473</t>
        </is>
      </c>
      <c r="I11" s="19" t="inlineStr">
        <is>
          <t>ГК «Башавтоком»</t>
        </is>
      </c>
      <c r="J11" s="19" t="inlineStr">
        <is>
          <t>ONLINE Башавтоком (ООО "БАШАВТОКОМ-В")</t>
        </is>
      </c>
      <c r="K11" s="19" t="inlineStr">
        <is>
          <t>ФДЦ+ГП</t>
        </is>
      </c>
      <c r="L11" s="36" t="inlineStr">
        <is>
          <t>Да</t>
        </is>
      </c>
      <c r="M11" s="22" t="n">
        <v>1761000</v>
      </c>
      <c r="N11" s="23" t="n">
        <v>26415</v>
      </c>
      <c r="O11" s="23" t="n">
        <v>21651.64</v>
      </c>
      <c r="P11" s="19" t="inlineStr">
        <is>
          <t>Григорян Михаил</t>
        </is>
      </c>
      <c r="Q11" s="19" t="inlineStr">
        <is>
          <t>Москот Владислав</t>
        </is>
      </c>
    </row>
    <row r="12">
      <c r="A12" s="32" t="n">
        <v>11</v>
      </c>
      <c r="B12" s="32" t="inlineStr">
        <is>
          <t>529690</t>
        </is>
      </c>
      <c r="C12" s="32" t="inlineStr">
        <is>
          <t>26.08.2026</t>
        </is>
      </c>
      <c r="D12" s="24" t="inlineStr">
        <is>
          <t>Башкирия</t>
        </is>
      </c>
      <c r="E12" s="24" t="inlineStr">
        <is>
          <t>Стерлитамак</t>
        </is>
      </c>
      <c r="F12" s="24" t="inlineStr">
        <is>
          <t>LADA</t>
        </is>
      </c>
      <c r="G12" s="24" t="inlineStr">
        <is>
          <t>GRANTA</t>
        </is>
      </c>
      <c r="H12" s="32" t="inlineStr">
        <is>
          <t>ХТА219040V1276057</t>
        </is>
      </c>
      <c r="I12" s="24" t="inlineStr">
        <is>
          <t>ГК «Башавтоком»</t>
        </is>
      </c>
      <c r="J12" s="24" t="inlineStr">
        <is>
          <t>ONLINE Башавтоком (ООО "БАШАВТОКОМ-В")</t>
        </is>
      </c>
      <c r="K12" s="24" t="inlineStr">
        <is>
          <t>МП3</t>
        </is>
      </c>
      <c r="L12" s="36" t="inlineStr">
        <is>
          <t>Да</t>
        </is>
      </c>
      <c r="M12" s="27" t="n">
        <v>1654000</v>
      </c>
      <c r="N12" s="28" t="n">
        <v>24810</v>
      </c>
      <c r="O12" s="28" t="n">
        <v>20336.07</v>
      </c>
      <c r="P12" s="24" t="inlineStr">
        <is>
          <t>Ярцев Вячеслав</t>
        </is>
      </c>
      <c r="Q12" s="24" t="inlineStr">
        <is>
          <t>Москот Владислав</t>
        </is>
      </c>
    </row>
    <row r="13">
      <c r="A13" s="33" t="n">
        <v>12</v>
      </c>
      <c r="B13" s="33" t="inlineStr">
        <is>
          <t>507548</t>
        </is>
      </c>
      <c r="C13" s="33" t="inlineStr">
        <is>
          <t>04.08.2026</t>
        </is>
      </c>
      <c r="D13" s="19" t="inlineStr">
        <is>
          <t>Башкирия</t>
        </is>
      </c>
      <c r="E13" s="19" t="inlineStr">
        <is>
          <t>Стерлитамак</t>
        </is>
      </c>
      <c r="F13" s="19" t="inlineStr">
        <is>
          <t>LADA</t>
        </is>
      </c>
      <c r="G13" s="19" t="inlineStr">
        <is>
          <t>(ВАЗ) NIVA</t>
        </is>
      </c>
      <c r="H13" s="33" t="inlineStr">
        <is>
          <t>XTA212310T0985466</t>
        </is>
      </c>
      <c r="I13" s="19" t="inlineStr">
        <is>
          <t>ГК «Башавтоком»</t>
        </is>
      </c>
      <c r="J13" s="19" t="inlineStr">
        <is>
          <t>Online ГК Башавтоком, ООО "СТРОЙМОСТИНВЕСТ"</t>
        </is>
      </c>
      <c r="K13" s="19" t="inlineStr">
        <is>
          <t>Передача лида</t>
        </is>
      </c>
      <c r="L13" s="35" t="inlineStr">
        <is>
          <t>Нет</t>
        </is>
      </c>
      <c r="M13" s="22" t="n">
        <v>1430000</v>
      </c>
      <c r="N13" s="23" t="n">
        <v>28600</v>
      </c>
      <c r="O13" s="23" t="n">
        <v>23442.62</v>
      </c>
      <c r="P13" s="19" t="inlineStr">
        <is>
          <t>Красильников Станислав</t>
        </is>
      </c>
      <c r="Q13" s="19" t="inlineStr">
        <is>
          <t>Восконян Алексей</t>
        </is>
      </c>
    </row>
    <row r="14">
      <c r="A14" s="32" t="n">
        <v>13</v>
      </c>
      <c r="B14" s="32" t="inlineStr">
        <is>
          <t>515614</t>
        </is>
      </c>
      <c r="C14" s="32" t="inlineStr">
        <is>
          <t>13.08.2026</t>
        </is>
      </c>
      <c r="D14" s="24" t="inlineStr">
        <is>
          <t>Башкирия</t>
        </is>
      </c>
      <c r="E14" s="24" t="inlineStr">
        <is>
          <t>Стерлитамак</t>
        </is>
      </c>
      <c r="F14" s="24" t="inlineStr">
        <is>
          <t>LADA</t>
        </is>
      </c>
      <c r="G14" s="24" t="inlineStr">
        <is>
          <t>GRANTA</t>
        </is>
      </c>
      <c r="H14" s="32" t="inlineStr">
        <is>
          <t>ХТА219170T0686083</t>
        </is>
      </c>
      <c r="I14" s="24" t="inlineStr">
        <is>
          <t>ГК «Башавтоком»</t>
        </is>
      </c>
      <c r="J14" s="24" t="inlineStr">
        <is>
          <t>ONLINE Башавтоком (ООО "БАШАВТОКОМ-В")</t>
        </is>
      </c>
      <c r="K14" s="24" t="inlineStr">
        <is>
          <t>МП3</t>
        </is>
      </c>
      <c r="L14" s="36" t="inlineStr">
        <is>
          <t>Да</t>
        </is>
      </c>
      <c r="M14" s="27" t="n">
        <v>1344000</v>
      </c>
      <c r="N14" s="28" t="n">
        <v>20160</v>
      </c>
      <c r="O14" s="28" t="n">
        <v>16524.59</v>
      </c>
      <c r="P14" s="24" t="inlineStr">
        <is>
          <t>Петров Александр</t>
        </is>
      </c>
      <c r="Q14" s="24" t="inlineStr">
        <is>
          <t>Восконян Алексей</t>
        </is>
      </c>
    </row>
    <row r="15">
      <c r="A15" s="33" t="n">
        <v>14</v>
      </c>
      <c r="B15" s="33" t="inlineStr">
        <is>
          <t>528042</t>
        </is>
      </c>
      <c r="C15" s="33" t="inlineStr">
        <is>
          <t>24.08.2026</t>
        </is>
      </c>
      <c r="D15" s="19" t="inlineStr">
        <is>
          <t>Башкирия</t>
        </is>
      </c>
      <c r="E15" s="19" t="inlineStr">
        <is>
          <t>Стерлитамак</t>
        </is>
      </c>
      <c r="F15" s="19" t="inlineStr">
        <is>
          <t>LADA</t>
        </is>
      </c>
      <c r="G15" s="19" t="inlineStr">
        <is>
          <t>GRANTA CROSS</t>
        </is>
      </c>
      <c r="H15" s="33" t="inlineStr">
        <is>
          <t>ХТА219470V0324758</t>
        </is>
      </c>
      <c r="I15" s="19" t="inlineStr">
        <is>
          <t>ГК «Башавтоком»</t>
        </is>
      </c>
      <c r="J15" s="19" t="inlineStr">
        <is>
          <t>ONLINE Башавтоком (ООО "БАШАВТОКОМ-В")</t>
        </is>
      </c>
      <c r="K15" s="19" t="inlineStr">
        <is>
          <t>МП3</t>
        </is>
      </c>
      <c r="L15" s="36" t="inlineStr">
        <is>
          <t>Да</t>
        </is>
      </c>
      <c r="M15" s="22" t="n">
        <v>1226000</v>
      </c>
      <c r="N15" s="23" t="n">
        <v>18390</v>
      </c>
      <c r="O15" s="23" t="n">
        <v>15073.77</v>
      </c>
      <c r="P15" s="19" t="inlineStr">
        <is>
          <t>Саушев Владимир</t>
        </is>
      </c>
      <c r="Q15" s="19" t="inlineStr">
        <is>
          <t>Восконян Алексей</t>
        </is>
      </c>
    </row>
    <row r="16">
      <c r="A16" s="32" t="n">
        <v>15</v>
      </c>
      <c r="B16" s="32" t="inlineStr">
        <is>
          <t>534038</t>
        </is>
      </c>
      <c r="C16" s="32" t="inlineStr">
        <is>
          <t>30.08.2026</t>
        </is>
      </c>
      <c r="D16" s="24" t="inlineStr">
        <is>
          <t>Башкирия</t>
        </is>
      </c>
      <c r="E16" s="24" t="inlineStr">
        <is>
          <t>Стерлитамак</t>
        </is>
      </c>
      <c r="F16" s="24" t="inlineStr">
        <is>
          <t>LADA</t>
        </is>
      </c>
      <c r="G16" s="24" t="inlineStr">
        <is>
          <t>GRANTA</t>
        </is>
      </c>
      <c r="H16" s="32" t="inlineStr">
        <is>
          <t>ХТА219440V0324759</t>
        </is>
      </c>
      <c r="I16" s="24" t="inlineStr">
        <is>
          <t>ГК «Башавтоком»</t>
        </is>
      </c>
      <c r="J16" s="24" t="inlineStr">
        <is>
          <t>ONLINE Башавтоком (ООО "БАШАВТОКОМ-В")</t>
        </is>
      </c>
      <c r="K16" s="24" t="inlineStr">
        <is>
          <t>ФДЦ+ГП</t>
        </is>
      </c>
      <c r="L16" s="36" t="inlineStr">
        <is>
          <t>Да</t>
        </is>
      </c>
      <c r="M16" s="27" t="n">
        <v>1225000</v>
      </c>
      <c r="N16" s="28" t="n">
        <v>18375</v>
      </c>
      <c r="O16" s="28" t="n">
        <v>15061.48</v>
      </c>
      <c r="P16" s="24" t="inlineStr">
        <is>
          <t>Бадиев Анар</t>
        </is>
      </c>
      <c r="Q16" s="24" t="inlineStr">
        <is>
          <t>Москот Владислав</t>
        </is>
      </c>
    </row>
    <row r="17">
      <c r="A17" s="33" t="n">
        <v>16</v>
      </c>
      <c r="B17" s="33" t="inlineStr">
        <is>
          <t>524852</t>
        </is>
      </c>
      <c r="C17" s="33" t="inlineStr">
        <is>
          <t>21.08.2026</t>
        </is>
      </c>
      <c r="D17" s="19" t="inlineStr">
        <is>
          <t>Башкирия</t>
        </is>
      </c>
      <c r="E17" s="19" t="inlineStr">
        <is>
          <t>Стерлитамак</t>
        </is>
      </c>
      <c r="F17" s="19" t="inlineStr">
        <is>
          <t>LADA</t>
        </is>
      </c>
      <c r="G17" s="19" t="inlineStr">
        <is>
          <t>GRANTA</t>
        </is>
      </c>
      <c r="H17" s="33" t="inlineStr">
        <is>
          <t>XTA219470V0323264</t>
        </is>
      </c>
      <c r="I17" s="19" t="inlineStr">
        <is>
          <t>ГК «Башавтоком»</t>
        </is>
      </c>
      <c r="J17" s="19" t="inlineStr">
        <is>
          <t>ONLINE Башавтоком (ООО "БАШАВТОКОМ-В")</t>
        </is>
      </c>
      <c r="K17" s="19" t="inlineStr">
        <is>
          <t>МП3</t>
        </is>
      </c>
      <c r="L17" s="36" t="inlineStr">
        <is>
          <t>Да</t>
        </is>
      </c>
      <c r="M17" s="22" t="n">
        <v>1198000</v>
      </c>
      <c r="N17" s="23" t="n">
        <v>17970</v>
      </c>
      <c r="O17" s="23" t="n">
        <v>14729.51</v>
      </c>
      <c r="P17" s="19" t="inlineStr">
        <is>
          <t>Григорян Михаил</t>
        </is>
      </c>
      <c r="Q17" s="19" t="inlineStr">
        <is>
          <t>Москот Владислав</t>
        </is>
      </c>
    </row>
    <row r="18">
      <c r="A18" s="32" t="n">
        <v>17</v>
      </c>
      <c r="B18" s="32" t="inlineStr">
        <is>
          <t>526118</t>
        </is>
      </c>
      <c r="C18" s="32" t="inlineStr">
        <is>
          <t>21.08.2026</t>
        </is>
      </c>
      <c r="D18" s="24" t="inlineStr">
        <is>
          <t>Башкирия</t>
        </is>
      </c>
      <c r="E18" s="24" t="inlineStr">
        <is>
          <t>Стерлитамак</t>
        </is>
      </c>
      <c r="F18" s="24" t="inlineStr">
        <is>
          <t>LADA</t>
        </is>
      </c>
      <c r="G18" s="24" t="inlineStr">
        <is>
          <t>GRANTA</t>
        </is>
      </c>
      <c r="H18" s="32" t="inlineStr">
        <is>
          <t>ХТА219440V0323249</t>
        </is>
      </c>
      <c r="I18" s="24" t="inlineStr">
        <is>
          <t>ГК «Башавтоком»</t>
        </is>
      </c>
      <c r="J18" s="24" t="inlineStr">
        <is>
          <t>ONLINE Башавтоком (ООО "БАШАВТОКОМ-В")</t>
        </is>
      </c>
      <c r="K18" s="24" t="inlineStr">
        <is>
          <t>МП3</t>
        </is>
      </c>
      <c r="L18" s="36" t="inlineStr">
        <is>
          <t>Да</t>
        </is>
      </c>
      <c r="M18" s="27" t="n">
        <v>1189000</v>
      </c>
      <c r="N18" s="28" t="n">
        <v>17835</v>
      </c>
      <c r="O18" s="28" t="n">
        <v>14618.85</v>
      </c>
      <c r="P18" s="24" t="inlineStr">
        <is>
          <t>Яковлева Валерия</t>
        </is>
      </c>
      <c r="Q18" s="24" t="inlineStr">
        <is>
          <t>Восконян Алексей</t>
        </is>
      </c>
    </row>
    <row r="19">
      <c r="A19" s="33" t="n">
        <v>18</v>
      </c>
      <c r="B19" s="33" t="inlineStr">
        <is>
          <t>534010</t>
        </is>
      </c>
      <c r="C19" s="33" t="inlineStr">
        <is>
          <t>30.08.2026</t>
        </is>
      </c>
      <c r="D19" s="19" t="inlineStr">
        <is>
          <t>Башкирия</t>
        </is>
      </c>
      <c r="E19" s="19" t="inlineStr">
        <is>
          <t>Стерлитамак</t>
        </is>
      </c>
      <c r="F19" s="19" t="inlineStr">
        <is>
          <t>LADA</t>
        </is>
      </c>
      <c r="G19" s="19" t="inlineStr">
        <is>
          <t>GRANTA</t>
        </is>
      </c>
      <c r="H19" s="33" t="inlineStr">
        <is>
          <t>ХТА219040T1268071</t>
        </is>
      </c>
      <c r="I19" s="19" t="inlineStr">
        <is>
          <t>ГК «Башавтоком»</t>
        </is>
      </c>
      <c r="J19" s="19" t="inlineStr">
        <is>
          <t>ONLINE Башавтоком (ООО "БАШАВТОКОМ-В")</t>
        </is>
      </c>
      <c r="K19" s="19" t="inlineStr">
        <is>
          <t>МП3</t>
        </is>
      </c>
      <c r="L19" s="36" t="inlineStr">
        <is>
          <t>Да</t>
        </is>
      </c>
      <c r="M19" s="22" t="n">
        <v>1121000</v>
      </c>
      <c r="N19" s="23" t="n">
        <v>16815</v>
      </c>
      <c r="O19" s="23" t="n">
        <v>13782.79</v>
      </c>
      <c r="P19" s="19" t="inlineStr">
        <is>
          <t>Харитонова Олеся</t>
        </is>
      </c>
      <c r="Q19" s="19" t="inlineStr">
        <is>
          <t>Москот Владислав</t>
        </is>
      </c>
    </row>
    <row r="20">
      <c r="A20" s="32" t="n">
        <v>19</v>
      </c>
      <c r="B20" s="32" t="inlineStr">
        <is>
          <t>523192</t>
        </is>
      </c>
      <c r="C20" s="32" t="inlineStr">
        <is>
          <t>18.08.2026</t>
        </is>
      </c>
      <c r="D20" s="24" t="inlineStr">
        <is>
          <t>Башкирия</t>
        </is>
      </c>
      <c r="E20" s="24" t="inlineStr">
        <is>
          <t>Стерлитамак</t>
        </is>
      </c>
      <c r="F20" s="24" t="inlineStr">
        <is>
          <t>LADA</t>
        </is>
      </c>
      <c r="G20" s="24" t="inlineStr">
        <is>
          <t>GRANTA</t>
        </is>
      </c>
      <c r="H20" s="32" t="inlineStr">
        <is>
          <t>ХТА219040V1275881</t>
        </is>
      </c>
      <c r="I20" s="24" t="inlineStr">
        <is>
          <t>ГК «Башавтоком»</t>
        </is>
      </c>
      <c r="J20" s="24" t="inlineStr">
        <is>
          <t>ONLINE Башавтоком (ООО "БАШАВТОКОМ-В")</t>
        </is>
      </c>
      <c r="K20" s="24" t="inlineStr">
        <is>
          <t>МП3</t>
        </is>
      </c>
      <c r="L20" s="36" t="inlineStr">
        <is>
          <t>Да</t>
        </is>
      </c>
      <c r="M20" s="27" t="n">
        <v>1096000</v>
      </c>
      <c r="N20" s="28" t="n">
        <v>16440</v>
      </c>
      <c r="O20" s="28" t="n">
        <v>13475.41</v>
      </c>
      <c r="P20" s="24" t="inlineStr">
        <is>
          <t>Фомичев Владислав</t>
        </is>
      </c>
      <c r="Q20" s="24" t="inlineStr">
        <is>
          <t>Восконян Алексей</t>
        </is>
      </c>
    </row>
    <row r="21">
      <c r="A21" s="33" t="n">
        <v>20</v>
      </c>
      <c r="B21" s="33" t="inlineStr">
        <is>
          <t>529958</t>
        </is>
      </c>
      <c r="C21" s="33" t="inlineStr">
        <is>
          <t>26.08.2026</t>
        </is>
      </c>
      <c r="D21" s="19" t="inlineStr">
        <is>
          <t>Башкирия</t>
        </is>
      </c>
      <c r="E21" s="19" t="inlineStr">
        <is>
          <t>Стерлитамак</t>
        </is>
      </c>
      <c r="F21" s="19" t="inlineStr">
        <is>
          <t>LADA</t>
        </is>
      </c>
      <c r="G21" s="19" t="inlineStr">
        <is>
          <t>GRANTA</t>
        </is>
      </c>
      <c r="H21" s="33" t="inlineStr">
        <is>
          <t>XTA219040V1276059</t>
        </is>
      </c>
      <c r="I21" s="19" t="inlineStr">
        <is>
          <t>ГК «Башавтоком»</t>
        </is>
      </c>
      <c r="J21" s="19" t="inlineStr">
        <is>
          <t>ONLINE Башавтоком (ООО "БАШАВТОКОМ-В")</t>
        </is>
      </c>
      <c r="K21" s="19" t="inlineStr">
        <is>
          <t>ФДЦ+ГП</t>
        </is>
      </c>
      <c r="L21" s="36" t="inlineStr">
        <is>
          <t>Да</t>
        </is>
      </c>
      <c r="M21" s="22" t="n">
        <v>1088000</v>
      </c>
      <c r="N21" s="23" t="n">
        <v>16320</v>
      </c>
      <c r="O21" s="23" t="n">
        <v>13377.05</v>
      </c>
      <c r="P21" s="19" t="inlineStr">
        <is>
          <t>Харитонова Олеся</t>
        </is>
      </c>
      <c r="Q21" s="19" t="inlineStr">
        <is>
          <t>Москот Владислав</t>
        </is>
      </c>
    </row>
    <row r="22">
      <c r="A22" s="32" t="n">
        <v>21</v>
      </c>
      <c r="B22" s="32" t="inlineStr">
        <is>
          <t>509016</t>
        </is>
      </c>
      <c r="C22" s="32" t="inlineStr">
        <is>
          <t>06.08.2026</t>
        </is>
      </c>
      <c r="D22" s="24" t="inlineStr">
        <is>
          <t>Башкирия</t>
        </is>
      </c>
      <c r="E22" s="24" t="inlineStr">
        <is>
          <t>Стерлитамак</t>
        </is>
      </c>
      <c r="F22" s="24" t="inlineStr">
        <is>
          <t>LADA</t>
        </is>
      </c>
      <c r="G22" s="24" t="inlineStr">
        <is>
          <t>GRANTA</t>
        </is>
      </c>
      <c r="H22" s="32" t="inlineStr">
        <is>
          <t>ХТА219040V1276108</t>
        </is>
      </c>
      <c r="I22" s="24" t="inlineStr">
        <is>
          <t>ГК «Башавтоком»</t>
        </is>
      </c>
      <c r="J22" s="24" t="inlineStr">
        <is>
          <t>ONLINE Башавтоком (ООО "БАШАВТОКОМ-В")</t>
        </is>
      </c>
      <c r="K22" s="24" t="inlineStr">
        <is>
          <t>МП3</t>
        </is>
      </c>
      <c r="L22" s="36" t="inlineStr">
        <is>
          <t>Да</t>
        </is>
      </c>
      <c r="M22" s="27" t="n">
        <v>870000</v>
      </c>
      <c r="N22" s="28" t="n">
        <v>13050</v>
      </c>
      <c r="O22" s="28" t="n">
        <v>10696.72</v>
      </c>
      <c r="P22" s="24" t="inlineStr">
        <is>
          <t>Воронин Ян</t>
        </is>
      </c>
      <c r="Q22" s="24" t="inlineStr">
        <is>
          <t>Москот Владислав</t>
        </is>
      </c>
    </row>
    <row r="23">
      <c r="A23" s="33" t="n">
        <v>22</v>
      </c>
      <c r="B23" s="33" t="inlineStr">
        <is>
          <t>535350</t>
        </is>
      </c>
      <c r="C23" s="33" t="inlineStr">
        <is>
          <t>31.08.2026</t>
        </is>
      </c>
      <c r="D23" s="19" t="inlineStr">
        <is>
          <t>Башкирия</t>
        </is>
      </c>
      <c r="E23" s="19" t="inlineStr">
        <is>
          <t>Уфа</t>
        </is>
      </c>
      <c r="F23" s="19" t="inlineStr">
        <is>
          <t>JETOUR</t>
        </is>
      </c>
      <c r="G23" s="19" t="inlineStr">
        <is>
          <t>X70PLUS</t>
        </is>
      </c>
      <c r="H23" s="33" t="inlineStr">
        <is>
          <t>EC37LUSM6TC006527</t>
        </is>
      </c>
      <c r="I23" s="19" t="inlineStr">
        <is>
          <t>ООО «МС Моторс Зубово»</t>
        </is>
      </c>
      <c r="J23" s="19" t="inlineStr">
        <is>
          <t>ООО "МС МОТОРС ЗУБОВО" ONLINE</t>
        </is>
      </c>
      <c r="K23" s="19" t="inlineStr">
        <is>
          <t>ФДЦ</t>
        </is>
      </c>
      <c r="L23" s="36" t="inlineStr">
        <is>
          <t>Да</t>
        </is>
      </c>
      <c r="M23" s="22" t="n">
        <v>2460000</v>
      </c>
      <c r="N23" s="23" t="n">
        <v>49200</v>
      </c>
      <c r="O23" s="23" t="n">
        <v>40327.87</v>
      </c>
      <c r="P23" s="19" t="inlineStr">
        <is>
          <t>Фомичев Владислав</t>
        </is>
      </c>
      <c r="Q23" s="19" t="inlineStr">
        <is>
          <t>Восконян Алексей</t>
        </is>
      </c>
    </row>
    <row r="24">
      <c r="A24" s="32" t="n">
        <v>23</v>
      </c>
      <c r="B24" s="32" t="inlineStr">
        <is>
          <t>509914</t>
        </is>
      </c>
      <c r="C24" s="32" t="inlineStr">
        <is>
          <t>07.08.2026</t>
        </is>
      </c>
      <c r="D24" s="24" t="inlineStr">
        <is>
          <t>Башкирия</t>
        </is>
      </c>
      <c r="E24" s="24" t="inlineStr">
        <is>
          <t>Уфа</t>
        </is>
      </c>
      <c r="F24" s="24" t="inlineStr">
        <is>
          <t>JETOUR</t>
        </is>
      </c>
      <c r="G24" s="24" t="inlineStr">
        <is>
          <t>DASHING</t>
        </is>
      </c>
      <c r="H24" s="32" t="inlineStr">
        <is>
          <t>EC3DLUFD7TC013063</t>
        </is>
      </c>
      <c r="I24" s="24" t="inlineStr">
        <is>
          <t>ООО «МС Моторс Зубово»</t>
        </is>
      </c>
      <c r="J24" s="24" t="inlineStr">
        <is>
          <t>ООО "МС МОТОРС ЗУБОВО" ONLINE</t>
        </is>
      </c>
      <c r="K24" s="24" t="inlineStr">
        <is>
          <t>МП1</t>
        </is>
      </c>
      <c r="L24" s="35" t="inlineStr">
        <is>
          <t>Нет</t>
        </is>
      </c>
      <c r="M24" s="27" t="n">
        <v>2400000</v>
      </c>
      <c r="N24" s="28" t="n">
        <v>48000</v>
      </c>
      <c r="O24" s="28" t="n">
        <v>39344.26</v>
      </c>
      <c r="P24" s="24" t="inlineStr">
        <is>
          <t>Бадиев Анар</t>
        </is>
      </c>
      <c r="Q24" s="24" t="inlineStr">
        <is>
          <t>Москот Владислав</t>
        </is>
      </c>
    </row>
    <row r="25">
      <c r="A25" s="33" t="n">
        <v>24</v>
      </c>
      <c r="B25" s="33" t="inlineStr">
        <is>
          <t>505868</t>
        </is>
      </c>
      <c r="C25" s="33" t="inlineStr">
        <is>
          <t>04.08.2026</t>
        </is>
      </c>
      <c r="D25" s="19" t="inlineStr">
        <is>
          <t>Башкирия</t>
        </is>
      </c>
      <c r="E25" s="19" t="inlineStr">
        <is>
          <t>Уфа</t>
        </is>
      </c>
      <c r="F25" s="19" t="inlineStr">
        <is>
          <t>JETOUR</t>
        </is>
      </c>
      <c r="G25" s="19" t="inlineStr">
        <is>
          <t>DASHING</t>
        </is>
      </c>
      <c r="H25" s="33" t="inlineStr">
        <is>
          <t>EC3DLUFD1TC012961</t>
        </is>
      </c>
      <c r="I25" s="19" t="inlineStr">
        <is>
          <t>«Дактор Авто»</t>
        </is>
      </c>
      <c r="J25" s="19" t="inlineStr">
        <is>
          <t>Online ДАКТОР УФА СЕЛЬСКАЯ</t>
        </is>
      </c>
      <c r="K25" s="19" t="inlineStr">
        <is>
          <t>МП2</t>
        </is>
      </c>
      <c r="L25" s="35" t="inlineStr">
        <is>
          <t>Нет</t>
        </is>
      </c>
      <c r="M25" s="22" t="n">
        <v>2020900</v>
      </c>
      <c r="N25" s="23" t="n">
        <v>40418</v>
      </c>
      <c r="O25" s="23" t="n">
        <v>33129.51</v>
      </c>
      <c r="P25" s="19" t="inlineStr">
        <is>
          <t>Фокин Борис</t>
        </is>
      </c>
      <c r="Q25" s="19" t="inlineStr">
        <is>
          <t>Гамаюнов Вячеслав</t>
        </is>
      </c>
    </row>
    <row r="26">
      <c r="A26" s="32" t="n">
        <v>25</v>
      </c>
      <c r="B26" s="32" t="inlineStr">
        <is>
          <t>518180</t>
        </is>
      </c>
      <c r="C26" s="32" t="inlineStr">
        <is>
          <t>16.08.2026</t>
        </is>
      </c>
      <c r="D26" s="24" t="inlineStr">
        <is>
          <t>Башкирия</t>
        </is>
      </c>
      <c r="E26" s="24" t="inlineStr">
        <is>
          <t>Уфа</t>
        </is>
      </c>
      <c r="F26" s="24" t="inlineStr">
        <is>
          <t>LADA</t>
        </is>
      </c>
      <c r="G26" s="24" t="inlineStr">
        <is>
          <t>VESTA</t>
        </is>
      </c>
      <c r="H26" s="32" t="inlineStr">
        <is>
          <t>XTAGFL110V1060519</t>
        </is>
      </c>
      <c r="I26" s="24" t="inlineStr">
        <is>
          <t>ГК «Башавтоком»</t>
        </is>
      </c>
      <c r="J26" s="24" t="inlineStr">
        <is>
          <t>ONLINE Башавтоком (ООО "БАШАВТОКОМ-В")</t>
        </is>
      </c>
      <c r="K26" s="24" t="inlineStr">
        <is>
          <t>ФДЦ+ГП</t>
        </is>
      </c>
      <c r="L26" s="36" t="inlineStr">
        <is>
          <t>Да</t>
        </is>
      </c>
      <c r="M26" s="27" t="n">
        <v>1832000</v>
      </c>
      <c r="N26" s="28" t="n">
        <v>27480</v>
      </c>
      <c r="O26" s="28" t="n">
        <v>22524.59</v>
      </c>
      <c r="P26" s="24" t="inlineStr">
        <is>
          <t>Григорян Михаил</t>
        </is>
      </c>
      <c r="Q26" s="24" t="inlineStr">
        <is>
          <t>Москот Владислав</t>
        </is>
      </c>
    </row>
    <row r="27">
      <c r="A27" s="33" t="n">
        <v>26</v>
      </c>
      <c r="B27" s="33" t="inlineStr">
        <is>
          <t>515382</t>
        </is>
      </c>
      <c r="C27" s="33" t="inlineStr">
        <is>
          <t>13.08.2026</t>
        </is>
      </c>
      <c r="D27" s="19" t="inlineStr">
        <is>
          <t>Башкирия</t>
        </is>
      </c>
      <c r="E27" s="19" t="inlineStr">
        <is>
          <t>Уфа</t>
        </is>
      </c>
      <c r="F27" s="19" t="inlineStr">
        <is>
          <t>LADA</t>
        </is>
      </c>
      <c r="G27" s="19" t="inlineStr">
        <is>
          <t>GRANTA</t>
        </is>
      </c>
      <c r="H27" s="33" t="inlineStr">
        <is>
          <t>XTA219070T1247660</t>
        </is>
      </c>
      <c r="I27" s="19" t="inlineStr">
        <is>
          <t>«Темп Авто Кубань» / Олимп</t>
        </is>
      </c>
      <c r="J27" s="19" t="inlineStr">
        <is>
          <t>ONLINE Олимп (ООО "ТЕМП АВТО КУБАНЬ")</t>
        </is>
      </c>
      <c r="K27" s="19" t="inlineStr">
        <is>
          <t>Online</t>
        </is>
      </c>
      <c r="L27" s="35" t="inlineStr">
        <is>
          <t>Нет</t>
        </is>
      </c>
      <c r="M27" s="22" t="n">
        <v>1168000</v>
      </c>
      <c r="N27" s="23" t="n">
        <v>18570</v>
      </c>
      <c r="O27" s="23" t="n">
        <v>15221.31</v>
      </c>
      <c r="P27" s="19" t="inlineStr">
        <is>
          <t>Фомичев Владислав</t>
        </is>
      </c>
      <c r="Q27" s="19" t="inlineStr">
        <is>
          <t>Восконян Алексей</t>
        </is>
      </c>
    </row>
    <row r="28">
      <c r="A28" s="32" t="n">
        <v>27</v>
      </c>
      <c r="B28" s="32" t="inlineStr">
        <is>
          <t>508422</t>
        </is>
      </c>
      <c r="C28" s="32" t="inlineStr">
        <is>
          <t>05.08.2026</t>
        </is>
      </c>
      <c r="D28" s="24" t="inlineStr">
        <is>
          <t>Башкирия</t>
        </is>
      </c>
      <c r="E28" s="24" t="inlineStr">
        <is>
          <t>Уфа</t>
        </is>
      </c>
      <c r="F28" s="24" t="inlineStr">
        <is>
          <t>LADA</t>
        </is>
      </c>
      <c r="G28" s="24" t="inlineStr">
        <is>
          <t>GRANTA</t>
        </is>
      </c>
      <c r="H28" s="32" t="inlineStr">
        <is>
          <t>XTA219040T1244945</t>
        </is>
      </c>
      <c r="I28" s="24" t="inlineStr">
        <is>
          <t>«Темп Авто Кубань» / Олимп</t>
        </is>
      </c>
      <c r="J28" s="24" t="inlineStr">
        <is>
          <t>ONLINE Олимп (ООО "ТЕМП АВТО КУБАНЬ")</t>
        </is>
      </c>
      <c r="K28" s="24" t="inlineStr">
        <is>
          <t>Передача лида</t>
        </is>
      </c>
      <c r="L28" s="35" t="inlineStr">
        <is>
          <t>Нет</t>
        </is>
      </c>
      <c r="M28" s="27" t="n">
        <v>1101000</v>
      </c>
      <c r="N28" s="28" t="n">
        <v>16515</v>
      </c>
      <c r="O28" s="28" t="n">
        <v>13536.89</v>
      </c>
      <c r="P28" s="24" t="inlineStr">
        <is>
          <t>Воронин Алексей</t>
        </is>
      </c>
      <c r="Q28" s="24" t="inlineStr">
        <is>
          <t>Восконян Алексей</t>
        </is>
      </c>
    </row>
    <row r="29">
      <c r="A29" s="33" t="n">
        <v>28</v>
      </c>
      <c r="B29" s="33" t="inlineStr">
        <is>
          <t>507118</t>
        </is>
      </c>
      <c r="C29" s="33" t="inlineStr">
        <is>
          <t>04.08.2026</t>
        </is>
      </c>
      <c r="D29" s="19" t="inlineStr">
        <is>
          <t>Башкирия</t>
        </is>
      </c>
      <c r="E29" s="19" t="inlineStr">
        <is>
          <t>Уфа</t>
        </is>
      </c>
      <c r="F29" s="19" t="inlineStr">
        <is>
          <t>LADA</t>
        </is>
      </c>
      <c r="G29" s="19" t="inlineStr">
        <is>
          <t>GRANTA</t>
        </is>
      </c>
      <c r="H29" s="33" t="inlineStr">
        <is>
          <t>XTA219040T1265728</t>
        </is>
      </c>
      <c r="I29" s="19" t="inlineStr">
        <is>
          <t>«Темп Авто Кубань» / Олимп</t>
        </is>
      </c>
      <c r="J29" s="19" t="inlineStr">
        <is>
          <t>ONLINE Олимп (ООО "ТЕМП АВТО КУБАНЬ")</t>
        </is>
      </c>
      <c r="K29" s="19" t="inlineStr">
        <is>
          <t>ФДЦ+ГП</t>
        </is>
      </c>
      <c r="L29" s="36" t="inlineStr">
        <is>
          <t>Да</t>
        </is>
      </c>
      <c r="M29" s="22" t="n">
        <v>1068000</v>
      </c>
      <c r="N29" s="23" t="n">
        <v>16020</v>
      </c>
      <c r="O29" s="23" t="n">
        <v>13131.15</v>
      </c>
      <c r="P29" s="19" t="inlineStr">
        <is>
          <t>Бадиев Анар</t>
        </is>
      </c>
      <c r="Q29" s="19" t="inlineStr">
        <is>
          <t>Москот Владислав</t>
        </is>
      </c>
    </row>
    <row r="30">
      <c r="A30" s="32" t="n">
        <v>29</v>
      </c>
      <c r="B30" s="32" t="inlineStr">
        <is>
          <t>535452</t>
        </is>
      </c>
      <c r="C30" s="32" t="inlineStr">
        <is>
          <t>31.08.2026</t>
        </is>
      </c>
      <c r="D30" s="24" t="inlineStr">
        <is>
          <t>Марий Эл</t>
        </is>
      </c>
      <c r="E30" s="24" t="inlineStr">
        <is>
          <t>Йошкар-Ола</t>
        </is>
      </c>
      <c r="F30" s="24" t="inlineStr">
        <is>
          <t>SOUEAST</t>
        </is>
      </c>
      <c r="G30" s="24" t="inlineStr">
        <is>
          <t>S06</t>
        </is>
      </c>
      <c r="H30" s="32" t="inlineStr">
        <is>
          <t>EC3DCUGA5TC000896</t>
        </is>
      </c>
      <c r="I30" s="24" t="inlineStr">
        <is>
          <t>ООО «Леон»</t>
        </is>
      </c>
      <c r="J30" s="24" t="inlineStr">
        <is>
          <t>Online ООО "ЛЕОН"</t>
        </is>
      </c>
      <c r="K30" s="24" t="inlineStr">
        <is>
          <t>МП2</t>
        </is>
      </c>
      <c r="L30" s="35" t="inlineStr">
        <is>
          <t>Нет</t>
        </is>
      </c>
      <c r="M30" s="27" t="n">
        <v>2550000</v>
      </c>
      <c r="N30" s="28" t="n">
        <v>51000</v>
      </c>
      <c r="O30" s="28" t="n">
        <v>41803.28</v>
      </c>
      <c r="P30" s="24" t="inlineStr">
        <is>
          <t>Фокин Борис</t>
        </is>
      </c>
      <c r="Q30" s="24" t="inlineStr">
        <is>
          <t>Гамаюнов Вячеслав</t>
        </is>
      </c>
    </row>
    <row r="31">
      <c r="A31" s="33" t="n">
        <v>30</v>
      </c>
      <c r="B31" s="33" t="inlineStr">
        <is>
          <t>513722</t>
        </is>
      </c>
      <c r="C31" s="33" t="inlineStr">
        <is>
          <t>11.08.2026</t>
        </is>
      </c>
      <c r="D31" s="19" t="inlineStr">
        <is>
          <t>Удмуртия</t>
        </is>
      </c>
      <c r="E31" s="19" t="inlineStr">
        <is>
          <t>Ижевск</t>
        </is>
      </c>
      <c r="F31" s="19" t="inlineStr">
        <is>
          <t>CHERY &amp; TENET</t>
        </is>
      </c>
      <c r="G31" s="19" t="inlineStr">
        <is>
          <t>TENET T7</t>
        </is>
      </c>
      <c r="H31" s="33" t="inlineStr">
        <is>
          <t>EDXFD32B5TE092453</t>
        </is>
      </c>
      <c r="I31" s="19" t="inlineStr">
        <is>
          <t>ООО «Интерпартнер»</t>
        </is>
      </c>
      <c r="J31" s="19" t="inlineStr">
        <is>
          <t>ONLINE ИНТЕРПАРТНЕР (ООО ФИРМА "ИНТЕРПАРТНЕР")</t>
        </is>
      </c>
      <c r="K31" s="19" t="inlineStr">
        <is>
          <t>Передача лида</t>
        </is>
      </c>
      <c r="L31" s="35" t="inlineStr">
        <is>
          <t>Нет</t>
        </is>
      </c>
      <c r="M31" s="22" t="n">
        <v>2990000</v>
      </c>
      <c r="N31" s="23" t="n">
        <v>44850</v>
      </c>
      <c r="O31" s="23" t="n">
        <v>36762.3</v>
      </c>
      <c r="P31" s="19" t="inlineStr">
        <is>
          <t>Воронин Ян</t>
        </is>
      </c>
      <c r="Q31" s="19" t="inlineStr">
        <is>
          <t>Москот Владислав</t>
        </is>
      </c>
    </row>
    <row r="32">
      <c r="A32" s="32" t="n">
        <v>31</v>
      </c>
      <c r="B32" s="32" t="inlineStr">
        <is>
          <t>509248</t>
        </is>
      </c>
      <c r="C32" s="32" t="inlineStr">
        <is>
          <t>06.08.2026</t>
        </is>
      </c>
      <c r="D32" s="24" t="inlineStr">
        <is>
          <t>Удмуртия</t>
        </is>
      </c>
      <c r="E32" s="24" t="inlineStr">
        <is>
          <t>Ижевск</t>
        </is>
      </c>
      <c r="F32" s="24" t="inlineStr">
        <is>
          <t>JETOUR</t>
        </is>
      </c>
      <c r="G32" s="24" t="inlineStr">
        <is>
          <t>T2</t>
        </is>
      </c>
      <c r="H32" s="32" t="inlineStr">
        <is>
          <t>EC3TDUMAXT0004585</t>
        </is>
      </c>
      <c r="I32" s="24" t="inlineStr">
        <is>
          <t>ООО «Автомаркет» (Ижевск)</t>
        </is>
      </c>
      <c r="J32" s="24" t="inlineStr">
        <is>
          <t>ONLINE ООО "АВТОМАРКЕТ"</t>
        </is>
      </c>
      <c r="K32" s="24" t="inlineStr">
        <is>
          <t>МП2</t>
        </is>
      </c>
      <c r="L32" s="35" t="inlineStr">
        <is>
          <t>Нет</t>
        </is>
      </c>
      <c r="M32" s="27" t="n">
        <v>4220000</v>
      </c>
      <c r="N32" s="28" t="n">
        <v>84400</v>
      </c>
      <c r="O32" s="28" t="n">
        <v>69180.33</v>
      </c>
      <c r="P32" s="24" t="inlineStr">
        <is>
          <t>Фокин Борис</t>
        </is>
      </c>
      <c r="Q32" s="24" t="inlineStr">
        <is>
          <t>Гамаюнов Вячеслав</t>
        </is>
      </c>
    </row>
    <row r="33">
      <c r="A33" s="33" t="n">
        <v>32</v>
      </c>
      <c r="B33" s="33" t="inlineStr">
        <is>
          <t>534956</t>
        </is>
      </c>
      <c r="C33" s="33" t="inlineStr">
        <is>
          <t>31.08.2026</t>
        </is>
      </c>
      <c r="D33" s="19" t="inlineStr">
        <is>
          <t>Удмуртия</t>
        </is>
      </c>
      <c r="E33" s="19" t="inlineStr">
        <is>
          <t>Ижевск</t>
        </is>
      </c>
      <c r="F33" s="19" t="inlineStr">
        <is>
          <t>JETOUR</t>
        </is>
      </c>
      <c r="G33" s="19" t="inlineStr">
        <is>
          <t>Х70+</t>
        </is>
      </c>
      <c r="H33" s="33" t="inlineStr">
        <is>
          <t>LVTDD24B6TDB98899</t>
        </is>
      </c>
      <c r="I33" s="19" t="inlineStr">
        <is>
          <t>ООО «Автомаркет» (Ижевск)</t>
        </is>
      </c>
      <c r="J33" s="19" t="inlineStr">
        <is>
          <t>ONLINE ООО "АВТОМАРКЕТ"</t>
        </is>
      </c>
      <c r="K33" s="19" t="inlineStr">
        <is>
          <t>МП2</t>
        </is>
      </c>
      <c r="L33" s="35" t="inlineStr">
        <is>
          <t>Нет</t>
        </is>
      </c>
      <c r="M33" s="22" t="n">
        <v>3670000</v>
      </c>
      <c r="N33" s="23" t="n">
        <v>30000</v>
      </c>
      <c r="O33" s="23" t="n">
        <v>24590.16</v>
      </c>
      <c r="P33" s="19" t="inlineStr">
        <is>
          <t>Фокин Борис</t>
        </is>
      </c>
      <c r="Q33" s="19" t="inlineStr">
        <is>
          <t>Гамаюнов Вячеслав</t>
        </is>
      </c>
    </row>
    <row r="34">
      <c r="A34" s="32" t="n">
        <v>33</v>
      </c>
      <c r="B34" s="32" t="inlineStr">
        <is>
          <t>526858</t>
        </is>
      </c>
      <c r="C34" s="32" t="inlineStr">
        <is>
          <t>31.08.2026</t>
        </is>
      </c>
      <c r="D34" s="24" t="inlineStr">
        <is>
          <t>Удмуртия</t>
        </is>
      </c>
      <c r="E34" s="24" t="inlineStr">
        <is>
          <t>Ижевск</t>
        </is>
      </c>
      <c r="F34" s="24" t="inlineStr">
        <is>
          <t>JETOUR</t>
        </is>
      </c>
      <c r="G34" s="24" t="inlineStr">
        <is>
          <t>Т1</t>
        </is>
      </c>
      <c r="H34" s="32" t="inlineStr">
        <is>
          <t>LVTDD24BXTDB88277</t>
        </is>
      </c>
      <c r="I34" s="24" t="inlineStr">
        <is>
          <t>ООО «Автомаркет» (Ижевск)</t>
        </is>
      </c>
      <c r="J34" s="24" t="inlineStr">
        <is>
          <t>ONLINE ООО "АВТОМАРКЕТ"</t>
        </is>
      </c>
      <c r="K34" s="24" t="inlineStr">
        <is>
          <t>МП2</t>
        </is>
      </c>
      <c r="L34" s="35" t="inlineStr">
        <is>
          <t>Нет</t>
        </is>
      </c>
      <c r="M34" s="27" t="n">
        <v>3670000</v>
      </c>
      <c r="N34" s="28" t="n">
        <v>30000</v>
      </c>
      <c r="O34" s="28" t="n">
        <v>24590.16</v>
      </c>
      <c r="P34" s="24" t="inlineStr">
        <is>
          <t>Фокин Борис</t>
        </is>
      </c>
      <c r="Q34" s="24" t="inlineStr">
        <is>
          <t>Гамаюнов Вячеслав</t>
        </is>
      </c>
    </row>
    <row r="35">
      <c r="A35" s="33" t="n">
        <v>34</v>
      </c>
      <c r="B35" s="33" t="inlineStr">
        <is>
          <t>509974</t>
        </is>
      </c>
      <c r="C35" s="33" t="inlineStr">
        <is>
          <t>07.08.2026</t>
        </is>
      </c>
      <c r="D35" s="19" t="inlineStr">
        <is>
          <t>Удмуртия</t>
        </is>
      </c>
      <c r="E35" s="19" t="inlineStr">
        <is>
          <t>Ижевск</t>
        </is>
      </c>
      <c r="F35" s="19" t="inlineStr">
        <is>
          <t>JETOUR</t>
        </is>
      </c>
      <c r="G35" s="19" t="inlineStr">
        <is>
          <t>Т1</t>
        </is>
      </c>
      <c r="H35" s="33" t="inlineStr">
        <is>
          <t>LVTDD24B0TDB98770</t>
        </is>
      </c>
      <c r="I35" s="19" t="inlineStr">
        <is>
          <t>ООО «Автомаркет» (Ижевск)</t>
        </is>
      </c>
      <c r="J35" s="19" t="inlineStr">
        <is>
          <t>ONLINE ООО "АВТОМАРКЕТ"</t>
        </is>
      </c>
      <c r="K35" s="19" t="inlineStr">
        <is>
          <t>МП2</t>
        </is>
      </c>
      <c r="L35" s="35" t="inlineStr">
        <is>
          <t>Нет</t>
        </is>
      </c>
      <c r="M35" s="22" t="n">
        <v>3670000</v>
      </c>
      <c r="N35" s="23" t="n">
        <v>73400</v>
      </c>
      <c r="O35" s="23" t="n">
        <v>60163.93</v>
      </c>
      <c r="P35" s="19" t="inlineStr">
        <is>
          <t>Фокин Борис</t>
        </is>
      </c>
      <c r="Q35" s="19" t="inlineStr">
        <is>
          <t>Гамаюнов Вячеслав</t>
        </is>
      </c>
    </row>
    <row r="36">
      <c r="A36" s="32" t="n">
        <v>35</v>
      </c>
      <c r="B36" s="32" t="inlineStr">
        <is>
          <t>509046</t>
        </is>
      </c>
      <c r="C36" s="32" t="inlineStr">
        <is>
          <t>06.08.2026</t>
        </is>
      </c>
      <c r="D36" s="24" t="inlineStr">
        <is>
          <t>Удмуртия</t>
        </is>
      </c>
      <c r="E36" s="24" t="inlineStr">
        <is>
          <t>Ижевск</t>
        </is>
      </c>
      <c r="F36" s="24" t="inlineStr">
        <is>
          <t>JETOUR</t>
        </is>
      </c>
      <c r="G36" s="24" t="inlineStr">
        <is>
          <t>T1</t>
        </is>
      </c>
      <c r="H36" s="32" t="inlineStr">
        <is>
          <t>LVTDD24BXTDB80244</t>
        </is>
      </c>
      <c r="I36" s="24" t="inlineStr">
        <is>
          <t>ООО «Автомаркет» (Ижевск)</t>
        </is>
      </c>
      <c r="J36" s="24" t="inlineStr">
        <is>
          <t>ONLINE ООО "АВТОМАРКЕТ"</t>
        </is>
      </c>
      <c r="K36" s="24" t="inlineStr">
        <is>
          <t>МП2</t>
        </is>
      </c>
      <c r="L36" s="35" t="inlineStr">
        <is>
          <t>Нет</t>
        </is>
      </c>
      <c r="M36" s="27" t="n">
        <v>3670000</v>
      </c>
      <c r="N36" s="28" t="n">
        <v>73400</v>
      </c>
      <c r="O36" s="28" t="n">
        <v>60163.93</v>
      </c>
      <c r="P36" s="24" t="inlineStr">
        <is>
          <t>Фокин Борис</t>
        </is>
      </c>
      <c r="Q36" s="24" t="inlineStr">
        <is>
          <t>Гамаюнов Вячеслав</t>
        </is>
      </c>
    </row>
    <row r="37">
      <c r="A37" s="33" t="n">
        <v>36</v>
      </c>
      <c r="B37" s="33" t="inlineStr">
        <is>
          <t>532556</t>
        </is>
      </c>
      <c r="C37" s="33" t="inlineStr">
        <is>
          <t>29.08.2026</t>
        </is>
      </c>
      <c r="D37" s="19" t="inlineStr">
        <is>
          <t>Удмуртия</t>
        </is>
      </c>
      <c r="E37" s="19" t="inlineStr">
        <is>
          <t>Ижевск</t>
        </is>
      </c>
      <c r="F37" s="19" t="inlineStr">
        <is>
          <t>JETOUR</t>
        </is>
      </c>
      <c r="G37" s="19" t="inlineStr">
        <is>
          <t>X70+</t>
        </is>
      </c>
      <c r="H37" s="33" t="inlineStr">
        <is>
          <t>EC37LUSM5TC006678</t>
        </is>
      </c>
      <c r="I37" s="19" t="inlineStr">
        <is>
          <t>ООО «Автомаркет» (Ижевск)</t>
        </is>
      </c>
      <c r="J37" s="19" t="inlineStr">
        <is>
          <t>ONLINE ООО "АВТОМАРКЕТ"</t>
        </is>
      </c>
      <c r="K37" s="19" t="inlineStr">
        <is>
          <t>МП2</t>
        </is>
      </c>
      <c r="L37" s="35" t="inlineStr">
        <is>
          <t>Нет</t>
        </is>
      </c>
      <c r="M37" s="22" t="n">
        <v>2460000</v>
      </c>
      <c r="N37" s="23" t="n">
        <v>30000</v>
      </c>
      <c r="O37" s="23" t="n">
        <v>24590.16</v>
      </c>
      <c r="P37" s="19" t="inlineStr">
        <is>
          <t>Фокин Борис</t>
        </is>
      </c>
      <c r="Q37" s="19" t="inlineStr">
        <is>
          <t>Гамаюнов Вячеслав</t>
        </is>
      </c>
    </row>
    <row r="38">
      <c r="A38" s="32" t="n">
        <v>37</v>
      </c>
      <c r="B38" s="32" t="inlineStr">
        <is>
          <t>534658</t>
        </is>
      </c>
      <c r="C38" s="32" t="inlineStr">
        <is>
          <t>31.08.2026</t>
        </is>
      </c>
      <c r="D38" s="24" t="inlineStr">
        <is>
          <t>Удмуртия</t>
        </is>
      </c>
      <c r="E38" s="24" t="inlineStr">
        <is>
          <t>Ижевск</t>
        </is>
      </c>
      <c r="F38" s="24" t="inlineStr">
        <is>
          <t>JETOUR</t>
        </is>
      </c>
      <c r="G38" s="24" t="inlineStr">
        <is>
          <t>X70PLUS</t>
        </is>
      </c>
      <c r="H38" s="32" t="inlineStr">
        <is>
          <t>EC37CUSM8TC007145</t>
        </is>
      </c>
      <c r="I38" s="24" t="inlineStr">
        <is>
          <t>ООО «Автомаркет» (Ижевск)</t>
        </is>
      </c>
      <c r="J38" s="24" t="inlineStr">
        <is>
          <t>ONLINE ООО "АВТОМАРКЕТ"</t>
        </is>
      </c>
      <c r="K38" s="24" t="inlineStr">
        <is>
          <t>МП2</t>
        </is>
      </c>
      <c r="L38" s="35" t="inlineStr">
        <is>
          <t>Нет</t>
        </is>
      </c>
      <c r="M38" s="27" t="n">
        <v>2290000</v>
      </c>
      <c r="N38" s="28" t="n">
        <v>30000</v>
      </c>
      <c r="O38" s="28" t="n">
        <v>24590.16</v>
      </c>
      <c r="P38" s="24" t="inlineStr">
        <is>
          <t>Фокин Борис</t>
        </is>
      </c>
      <c r="Q38" s="24" t="inlineStr">
        <is>
          <t>Гамаюнов Вячеслав</t>
        </is>
      </c>
    </row>
    <row r="39">
      <c r="A39" s="33" t="n">
        <v>38</v>
      </c>
      <c r="B39" s="33" t="inlineStr">
        <is>
          <t>528082</t>
        </is>
      </c>
      <c r="C39" s="33" t="inlineStr">
        <is>
          <t>31.08.2026</t>
        </is>
      </c>
      <c r="D39" s="19" t="inlineStr">
        <is>
          <t>Удмуртия</t>
        </is>
      </c>
      <c r="E39" s="19" t="inlineStr">
        <is>
          <t>Ижевск</t>
        </is>
      </c>
      <c r="F39" s="19" t="inlineStr">
        <is>
          <t>JETOUR</t>
        </is>
      </c>
      <c r="G39" s="19" t="inlineStr">
        <is>
          <t>X70 +</t>
        </is>
      </c>
      <c r="H39" s="33" t="inlineStr">
        <is>
          <t>EC37CUSM9TC006778</t>
        </is>
      </c>
      <c r="I39" s="19" t="inlineStr">
        <is>
          <t>ООО «Автомаркет» (Ижевск)</t>
        </is>
      </c>
      <c r="J39" s="19" t="inlineStr">
        <is>
          <t>ONLINE ООО "АВТОМАРКЕТ"</t>
        </is>
      </c>
      <c r="K39" s="19" t="inlineStr">
        <is>
          <t>МП2</t>
        </is>
      </c>
      <c r="L39" s="35" t="inlineStr">
        <is>
          <t>Нет</t>
        </is>
      </c>
      <c r="M39" s="22" t="n">
        <v>2290000</v>
      </c>
      <c r="N39" s="23" t="n">
        <v>30000</v>
      </c>
      <c r="O39" s="23" t="n">
        <v>24590.16</v>
      </c>
      <c r="P39" s="19" t="inlineStr">
        <is>
          <t>Фокин Борис</t>
        </is>
      </c>
      <c r="Q39" s="19" t="inlineStr">
        <is>
          <t>Гамаюнов Вячеслав</t>
        </is>
      </c>
    </row>
    <row r="40">
      <c r="A40" s="32" t="n">
        <v>39</v>
      </c>
      <c r="B40" s="32" t="inlineStr">
        <is>
          <t>511658</t>
        </is>
      </c>
      <c r="C40" s="32" t="inlineStr">
        <is>
          <t>09.08.2026</t>
        </is>
      </c>
      <c r="D40" s="24" t="inlineStr">
        <is>
          <t>Удмуртия</t>
        </is>
      </c>
      <c r="E40" s="24" t="inlineStr">
        <is>
          <t>Ижевск</t>
        </is>
      </c>
      <c r="F40" s="24" t="inlineStr">
        <is>
          <t>JETOUR</t>
        </is>
      </c>
      <c r="G40" s="24" t="inlineStr">
        <is>
          <t>X70 PLUS</t>
        </is>
      </c>
      <c r="H40" s="32" t="inlineStr">
        <is>
          <t>EC37CUSM3TC006906</t>
        </is>
      </c>
      <c r="I40" s="24" t="inlineStr">
        <is>
          <t>ООО «Автомаркет» (Ижевск)</t>
        </is>
      </c>
      <c r="J40" s="24" t="inlineStr">
        <is>
          <t>ONLINE ООО "АВТОМАРКЕТ"</t>
        </is>
      </c>
      <c r="K40" s="24" t="inlineStr">
        <is>
          <t>МП2</t>
        </is>
      </c>
      <c r="L40" s="35" t="inlineStr">
        <is>
          <t>Нет</t>
        </is>
      </c>
      <c r="M40" s="27" t="n">
        <v>2290000</v>
      </c>
      <c r="N40" s="28" t="n">
        <v>45800</v>
      </c>
      <c r="O40" s="28" t="n">
        <v>37540.98</v>
      </c>
      <c r="P40" s="24" t="inlineStr">
        <is>
          <t>Фокин Борис</t>
        </is>
      </c>
      <c r="Q40" s="24" t="inlineStr">
        <is>
          <t>Гамаюнов Вячеслав</t>
        </is>
      </c>
    </row>
    <row r="41">
      <c r="A41" s="33" t="n">
        <v>40</v>
      </c>
      <c r="B41" s="33" t="inlineStr">
        <is>
          <t>519032</t>
        </is>
      </c>
      <c r="C41" s="33" t="inlineStr">
        <is>
          <t>17.08.2026</t>
        </is>
      </c>
      <c r="D41" s="19" t="inlineStr">
        <is>
          <t>Удмуртия</t>
        </is>
      </c>
      <c r="E41" s="19" t="inlineStr">
        <is>
          <t>Ижевск</t>
        </is>
      </c>
      <c r="F41" s="19" t="inlineStr">
        <is>
          <t>JETOUR</t>
        </is>
      </c>
      <c r="G41" s="19" t="inlineStr">
        <is>
          <t>DASHING</t>
        </is>
      </c>
      <c r="H41" s="33" t="inlineStr">
        <is>
          <t>EC3DCUFDXTC015986</t>
        </is>
      </c>
      <c r="I41" s="19" t="inlineStr">
        <is>
          <t>ООО «Автомаркет» (Ижевск)</t>
        </is>
      </c>
      <c r="J41" s="19" t="inlineStr">
        <is>
          <t>ONLINE ООО "АВТОМАРКЕТ"</t>
        </is>
      </c>
      <c r="K41" s="19" t="inlineStr">
        <is>
          <t>МП2</t>
        </is>
      </c>
      <c r="L41" s="35" t="inlineStr">
        <is>
          <t>Нет</t>
        </is>
      </c>
      <c r="M41" s="22" t="n">
        <v>2209900</v>
      </c>
      <c r="N41" s="23" t="n">
        <v>44198</v>
      </c>
      <c r="O41" s="23" t="n">
        <v>36227.87</v>
      </c>
      <c r="P41" s="19" t="inlineStr">
        <is>
          <t>Фокин Борис</t>
        </is>
      </c>
      <c r="Q41" s="19" t="inlineStr">
        <is>
          <t>Гамаюнов Вячеслав</t>
        </is>
      </c>
    </row>
    <row r="42">
      <c r="A42" s="32" t="n">
        <v>41</v>
      </c>
      <c r="B42" s="32" t="inlineStr">
        <is>
          <t>506650</t>
        </is>
      </c>
      <c r="C42" s="32" t="inlineStr">
        <is>
          <t>03.08.2026</t>
        </is>
      </c>
      <c r="D42" s="24" t="inlineStr">
        <is>
          <t>Удмуртия</t>
        </is>
      </c>
      <c r="E42" s="24" t="inlineStr">
        <is>
          <t>Ижевск</t>
        </is>
      </c>
      <c r="F42" s="24" t="inlineStr">
        <is>
          <t>JETOUR</t>
        </is>
      </c>
      <c r="G42" s="24" t="inlineStr">
        <is>
          <t>X 70 PLUS</t>
        </is>
      </c>
      <c r="H42" s="32" t="inlineStr">
        <is>
          <t>EC37CUSM9TC005856</t>
        </is>
      </c>
      <c r="I42" s="24" t="inlineStr">
        <is>
          <t>ООО «Автомаркет» (Ижевск)</t>
        </is>
      </c>
      <c r="J42" s="24" t="inlineStr">
        <is>
          <t>ONLINE ООО "АВТОМАРКЕТ"</t>
        </is>
      </c>
      <c r="K42" s="24" t="inlineStr">
        <is>
          <t>МП2</t>
        </is>
      </c>
      <c r="L42" s="35" t="inlineStr">
        <is>
          <t>Нет</t>
        </is>
      </c>
      <c r="M42" s="27" t="n">
        <v>2130000</v>
      </c>
      <c r="N42" s="28" t="n">
        <v>42600</v>
      </c>
      <c r="O42" s="28" t="n">
        <v>34918.03</v>
      </c>
      <c r="P42" s="24" t="inlineStr">
        <is>
          <t>Фокин Борис</t>
        </is>
      </c>
      <c r="Q42" s="24" t="inlineStr">
        <is>
          <t>Гамаюнов Вячеслав</t>
        </is>
      </c>
    </row>
    <row r="43">
      <c r="A43" s="33" t="n">
        <v>42</v>
      </c>
      <c r="B43" s="33" t="inlineStr">
        <is>
          <t>534870</t>
        </is>
      </c>
      <c r="C43" s="33" t="inlineStr">
        <is>
          <t>31.08.2026</t>
        </is>
      </c>
      <c r="D43" s="19" t="inlineStr">
        <is>
          <t>Удмуртия</t>
        </is>
      </c>
      <c r="E43" s="19" t="inlineStr">
        <is>
          <t>Ижевск</t>
        </is>
      </c>
      <c r="F43" s="19" t="inlineStr">
        <is>
          <t>JETOUR</t>
        </is>
      </c>
      <c r="G43" s="19" t="inlineStr">
        <is>
          <t>DASHING</t>
        </is>
      </c>
      <c r="H43" s="33" t="inlineStr">
        <is>
          <t>EC3DCUFD2TC015769</t>
        </is>
      </c>
      <c r="I43" s="19" t="inlineStr">
        <is>
          <t>ООО «Автомаркет» (Ижевск)</t>
        </is>
      </c>
      <c r="J43" s="19" t="inlineStr">
        <is>
          <t>ONLINE ООО "АВТОМАРКЕТ"</t>
        </is>
      </c>
      <c r="K43" s="19" t="inlineStr">
        <is>
          <t>МП2</t>
        </is>
      </c>
      <c r="L43" s="35" t="inlineStr">
        <is>
          <t>Нет</t>
        </is>
      </c>
      <c r="M43" s="22" t="n">
        <v>2100000</v>
      </c>
      <c r="N43" s="23" t="n">
        <v>30000</v>
      </c>
      <c r="O43" s="23" t="n">
        <v>24590.16</v>
      </c>
      <c r="P43" s="19" t="inlineStr">
        <is>
          <t>Фокин Борис</t>
        </is>
      </c>
      <c r="Q43" s="19" t="inlineStr">
        <is>
          <t>Гамаюнов Вячеслав</t>
        </is>
      </c>
    </row>
    <row r="44">
      <c r="A44" s="32" t="n">
        <v>43</v>
      </c>
      <c r="B44" s="32" t="inlineStr">
        <is>
          <t>526946</t>
        </is>
      </c>
      <c r="C44" s="32" t="inlineStr">
        <is>
          <t>22.08.2026</t>
        </is>
      </c>
      <c r="D44" s="24" t="inlineStr">
        <is>
          <t>Удмуртия</t>
        </is>
      </c>
      <c r="E44" s="24" t="inlineStr">
        <is>
          <t>Ижевск</t>
        </is>
      </c>
      <c r="F44" s="24" t="inlineStr">
        <is>
          <t>JETOUR</t>
        </is>
      </c>
      <c r="G44" s="24" t="inlineStr">
        <is>
          <t>DASHING</t>
        </is>
      </c>
      <c r="H44" s="32" t="inlineStr">
        <is>
          <t>EC3DCUFD0TC015561</t>
        </is>
      </c>
      <c r="I44" s="24" t="inlineStr">
        <is>
          <t>ООО «Автомаркет» (Ижевск)</t>
        </is>
      </c>
      <c r="J44" s="24" t="inlineStr">
        <is>
          <t>ONLINE ООО "АВТОМАРКЕТ"</t>
        </is>
      </c>
      <c r="K44" s="24" t="inlineStr">
        <is>
          <t>ФДЦ</t>
        </is>
      </c>
      <c r="L44" s="36" t="inlineStr">
        <is>
          <t>Да</t>
        </is>
      </c>
      <c r="M44" s="27" t="n">
        <v>2100000</v>
      </c>
      <c r="N44" s="28" t="n">
        <v>42000</v>
      </c>
      <c r="O44" s="28" t="n">
        <v>34426.23</v>
      </c>
      <c r="P44" s="24" t="inlineStr">
        <is>
          <t>Горбунов Роман</t>
        </is>
      </c>
      <c r="Q44" s="24" t="inlineStr">
        <is>
          <t>Восконян Алексей</t>
        </is>
      </c>
    </row>
    <row r="45">
      <c r="A45" s="33" t="n">
        <v>44</v>
      </c>
      <c r="B45" s="33" t="inlineStr">
        <is>
          <t>496878</t>
        </is>
      </c>
      <c r="C45" s="33" t="inlineStr">
        <is>
          <t>03.08.2026</t>
        </is>
      </c>
      <c r="D45" s="19" t="inlineStr">
        <is>
          <t>Удмуртия</t>
        </is>
      </c>
      <c r="E45" s="19" t="inlineStr">
        <is>
          <t>Ижевск</t>
        </is>
      </c>
      <c r="F45" s="19" t="inlineStr">
        <is>
          <t>JETOUR</t>
        </is>
      </c>
      <c r="G45" s="19" t="inlineStr">
        <is>
          <t>DASHING</t>
        </is>
      </c>
      <c r="H45" s="33" t="inlineStr">
        <is>
          <t>EC3DCUFD4TC010492</t>
        </is>
      </c>
      <c r="I45" s="19" t="inlineStr">
        <is>
          <t>ООО «Автомаркет» (Ижевск)</t>
        </is>
      </c>
      <c r="J45" s="19" t="inlineStr">
        <is>
          <t>ONLINE ООО "АВТОМАРКЕТ"</t>
        </is>
      </c>
      <c r="K45" s="19" t="inlineStr">
        <is>
          <t>МП2</t>
        </is>
      </c>
      <c r="L45" s="35" t="inlineStr">
        <is>
          <t>Нет</t>
        </is>
      </c>
      <c r="M45" s="22" t="n">
        <v>1970000</v>
      </c>
      <c r="N45" s="23" t="n">
        <v>39400</v>
      </c>
      <c r="O45" s="23" t="n">
        <v>32295.08</v>
      </c>
      <c r="P45" s="19" t="inlineStr">
        <is>
          <t>Фокин Борис</t>
        </is>
      </c>
      <c r="Q45" s="19" t="inlineStr">
        <is>
          <t>Гамаюнов Вячеслав</t>
        </is>
      </c>
    </row>
    <row r="46">
      <c r="A46" s="32" t="n">
        <v>45</v>
      </c>
      <c r="B46" s="32" t="inlineStr">
        <is>
          <t>525046</t>
        </is>
      </c>
      <c r="C46" s="32" t="inlineStr">
        <is>
          <t>20.08.2026</t>
        </is>
      </c>
      <c r="D46" s="24" t="inlineStr">
        <is>
          <t>Удмуртия</t>
        </is>
      </c>
      <c r="E46" s="24" t="inlineStr">
        <is>
          <t>Ижевск</t>
        </is>
      </c>
      <c r="F46" s="24" t="inlineStr">
        <is>
          <t>JETOUR</t>
        </is>
      </c>
      <c r="G46" s="24" t="inlineStr">
        <is>
          <t>DASHING</t>
        </is>
      </c>
      <c r="H46" s="32" t="inlineStr">
        <is>
          <t>EC3DCUFD4TC016230</t>
        </is>
      </c>
      <c r="I46" s="24" t="inlineStr">
        <is>
          <t>ООО «Автомаркет» (Ижевск)</t>
        </is>
      </c>
      <c r="J46" s="24" t="inlineStr">
        <is>
          <t>ONLINE ООО "АВТОМАРКЕТ"</t>
        </is>
      </c>
      <c r="K46" s="24" t="inlineStr">
        <is>
          <t>МП2</t>
        </is>
      </c>
      <c r="L46" s="35" t="inlineStr">
        <is>
          <t>Нет</t>
        </is>
      </c>
      <c r="M46" s="27" t="n">
        <v>1950000</v>
      </c>
      <c r="N46" s="28" t="n">
        <v>30000</v>
      </c>
      <c r="O46" s="28" t="n">
        <v>24590.16</v>
      </c>
      <c r="P46" s="24" t="inlineStr">
        <is>
          <t>Фокин Борис</t>
        </is>
      </c>
      <c r="Q46" s="24" t="inlineStr">
        <is>
          <t>Гамаюнов Вячеслав</t>
        </is>
      </c>
    </row>
    <row r="47">
      <c r="A47" s="33" t="n">
        <v>46</v>
      </c>
      <c r="B47" s="33" t="inlineStr">
        <is>
          <t>534138</t>
        </is>
      </c>
      <c r="C47" s="33" t="inlineStr">
        <is>
          <t>30.08.2026</t>
        </is>
      </c>
      <c r="D47" s="19" t="inlineStr">
        <is>
          <t>Удмуртия</t>
        </is>
      </c>
      <c r="E47" s="19" t="inlineStr">
        <is>
          <t>Ижевск</t>
        </is>
      </c>
      <c r="F47" s="19" t="inlineStr">
        <is>
          <t>LADA</t>
        </is>
      </c>
      <c r="G47" s="19" t="inlineStr">
        <is>
          <t>VESTA</t>
        </is>
      </c>
      <c r="H47" s="33" t="inlineStr">
        <is>
          <t>XTAGFL360V1063223</t>
        </is>
      </c>
      <c r="I47" s="19" t="inlineStr">
        <is>
          <t>«Русская Ладья» (LADA)</t>
        </is>
      </c>
      <c r="J47" s="19" t="inlineStr">
        <is>
          <t>ONLINE LADA Русская Ладья (ООО "РУССКАЯ ЛАДЬЯ")</t>
        </is>
      </c>
      <c r="K47" s="19" t="inlineStr">
        <is>
          <t>Online</t>
        </is>
      </c>
      <c r="L47" s="35" t="inlineStr">
        <is>
          <t>Нет</t>
        </is>
      </c>
      <c r="M47" s="22" t="n">
        <v>1970000</v>
      </c>
      <c r="N47" s="23" t="n">
        <v>29550</v>
      </c>
      <c r="O47" s="23" t="n">
        <v>24221.31</v>
      </c>
      <c r="P47" s="19" t="inlineStr">
        <is>
          <t>Харитонова Олеся</t>
        </is>
      </c>
      <c r="Q47" s="19" t="inlineStr">
        <is>
          <t>Москот Владислав</t>
        </is>
      </c>
    </row>
    <row r="48">
      <c r="A48" s="32" t="n">
        <v>47</v>
      </c>
      <c r="B48" s="32" t="inlineStr">
        <is>
          <t>536334</t>
        </is>
      </c>
      <c r="C48" s="32" t="inlineStr">
        <is>
          <t>31.08.2026</t>
        </is>
      </c>
      <c r="D48" s="24" t="inlineStr">
        <is>
          <t>Удмуртия</t>
        </is>
      </c>
      <c r="E48" s="24" t="inlineStr">
        <is>
          <t>Ижевск</t>
        </is>
      </c>
      <c r="F48" s="24" t="inlineStr">
        <is>
          <t>LADA</t>
        </is>
      </c>
      <c r="G48" s="24" t="inlineStr">
        <is>
          <t>NIVA</t>
        </is>
      </c>
      <c r="H48" s="32" t="inlineStr">
        <is>
          <t>XTA212310V1005549</t>
        </is>
      </c>
      <c r="I48" s="24" t="inlineStr">
        <is>
          <t>ГК «Форвард-Авто»</t>
        </is>
      </c>
      <c r="J48" s="24" t="inlineStr">
        <is>
          <t>ONLINE ФОРВАРД Авто Ижевск (ООО "ФОРВАРД-АВТО")</t>
        </is>
      </c>
      <c r="K48" s="24" t="inlineStr">
        <is>
          <t>Передача лида</t>
        </is>
      </c>
      <c r="L48" s="35" t="inlineStr">
        <is>
          <t>Нет</t>
        </is>
      </c>
      <c r="M48" s="27" t="n">
        <v>1732000</v>
      </c>
      <c r="N48" s="28" t="n">
        <v>25980</v>
      </c>
      <c r="O48" s="28" t="n">
        <v>21295.08</v>
      </c>
      <c r="P48" s="24" t="inlineStr">
        <is>
          <t>Воронин Алексей</t>
        </is>
      </c>
      <c r="Q48" s="24" t="inlineStr">
        <is>
          <t>Восконян Алексей</t>
        </is>
      </c>
    </row>
    <row r="49">
      <c r="A49" s="33" t="n">
        <v>48</v>
      </c>
      <c r="B49" s="33" t="inlineStr">
        <is>
          <t>526800</t>
        </is>
      </c>
      <c r="C49" s="33" t="inlineStr">
        <is>
          <t>22.08.2026</t>
        </is>
      </c>
      <c r="D49" s="19" t="inlineStr">
        <is>
          <t>Удмуртия</t>
        </is>
      </c>
      <c r="E49" s="19" t="inlineStr">
        <is>
          <t>Ижевск</t>
        </is>
      </c>
      <c r="F49" s="19" t="inlineStr">
        <is>
          <t>LADA</t>
        </is>
      </c>
      <c r="G49" s="19" t="inlineStr">
        <is>
          <t>NIVA</t>
        </is>
      </c>
      <c r="H49" s="33" t="inlineStr">
        <is>
          <t>XTA212310V1005020</t>
        </is>
      </c>
      <c r="I49" s="19" t="inlineStr">
        <is>
          <t>ГК «Форвард-Авто»</t>
        </is>
      </c>
      <c r="J49" s="19" t="inlineStr">
        <is>
          <t>ONLINE ФОРВАРД Авто Ижевск (ООО "ФОРВАРД-АВТО")</t>
        </is>
      </c>
      <c r="K49" s="19" t="inlineStr">
        <is>
          <t>ФДЦ+ГП</t>
        </is>
      </c>
      <c r="L49" s="36" t="inlineStr">
        <is>
          <t>Да</t>
        </is>
      </c>
      <c r="M49" s="22" t="n">
        <v>1712000</v>
      </c>
      <c r="N49" s="23" t="n">
        <v>25680</v>
      </c>
      <c r="O49" s="23" t="n">
        <v>21049.18</v>
      </c>
      <c r="P49" s="19" t="inlineStr">
        <is>
          <t>Харитонова Олеся</t>
        </is>
      </c>
      <c r="Q49" s="19" t="inlineStr">
        <is>
          <t>Москот Владислав</t>
        </is>
      </c>
    </row>
    <row r="50">
      <c r="A50" s="32" t="n">
        <v>49</v>
      </c>
      <c r="B50" s="32" t="inlineStr">
        <is>
          <t>527448</t>
        </is>
      </c>
      <c r="C50" s="32" t="inlineStr">
        <is>
          <t>31.08.2026</t>
        </is>
      </c>
      <c r="D50" s="24" t="inlineStr">
        <is>
          <t>Удмуртия</t>
        </is>
      </c>
      <c r="E50" s="24" t="inlineStr">
        <is>
          <t>Ижевск</t>
        </is>
      </c>
      <c r="F50" s="24" t="inlineStr">
        <is>
          <t>SOUEAST</t>
        </is>
      </c>
      <c r="G50" s="24" t="inlineStr">
        <is>
          <t>S07</t>
        </is>
      </c>
      <c r="H50" s="32" t="inlineStr">
        <is>
          <t>EC37PUSA1TC200957</t>
        </is>
      </c>
      <c r="I50" s="24" t="inlineStr">
        <is>
          <t>ООО «Автомаркет» (Ижевск)</t>
        </is>
      </c>
      <c r="J50" s="24" t="inlineStr">
        <is>
          <t>ONLINE ООО "АВТОМАРКЕТ"</t>
        </is>
      </c>
      <c r="K50" s="24" t="inlineStr">
        <is>
          <t>МП2</t>
        </is>
      </c>
      <c r="L50" s="35" t="inlineStr">
        <is>
          <t>Нет</t>
        </is>
      </c>
      <c r="M50" s="27" t="n">
        <v>2800000</v>
      </c>
      <c r="N50" s="28" t="n">
        <v>30000</v>
      </c>
      <c r="O50" s="28" t="n">
        <v>24590.16</v>
      </c>
      <c r="P50" s="24" t="inlineStr">
        <is>
          <t>Фокин Борис</t>
        </is>
      </c>
      <c r="Q50" s="24" t="inlineStr">
        <is>
          <t>Гамаюнов Вячеслав</t>
        </is>
      </c>
    </row>
    <row r="51">
      <c r="A51" s="33" t="n">
        <v>50</v>
      </c>
      <c r="B51" s="33" t="inlineStr">
        <is>
          <t>506032</t>
        </is>
      </c>
      <c r="C51" s="33" t="inlineStr">
        <is>
          <t>03.08.2026</t>
        </is>
      </c>
      <c r="D51" s="19" t="inlineStr">
        <is>
          <t>Удмуртия</t>
        </is>
      </c>
      <c r="E51" s="19" t="inlineStr">
        <is>
          <t>Ижевск</t>
        </is>
      </c>
      <c r="F51" s="19" t="inlineStr">
        <is>
          <t>SOUEAST</t>
        </is>
      </c>
      <c r="G51" s="19" t="inlineStr">
        <is>
          <t>S07</t>
        </is>
      </c>
      <c r="H51" s="33" t="inlineStr">
        <is>
          <t>EC37PUSA5TC200332</t>
        </is>
      </c>
      <c r="I51" s="19" t="inlineStr">
        <is>
          <t>ООО «Автомаркет» (Ижевск)</t>
        </is>
      </c>
      <c r="J51" s="19" t="inlineStr">
        <is>
          <t>ONLINE ООО "АВТОМАРКЕТ"</t>
        </is>
      </c>
      <c r="K51" s="19" t="inlineStr">
        <is>
          <t>МП2</t>
        </is>
      </c>
      <c r="L51" s="35" t="inlineStr">
        <is>
          <t>Нет</t>
        </is>
      </c>
      <c r="M51" s="22" t="n">
        <v>2720000</v>
      </c>
      <c r="N51" s="23" t="n">
        <v>54400</v>
      </c>
      <c r="O51" s="23" t="n">
        <v>44590.16</v>
      </c>
      <c r="P51" s="19" t="inlineStr">
        <is>
          <t>Фокин Борис</t>
        </is>
      </c>
      <c r="Q51" s="19" t="inlineStr">
        <is>
          <t>Гамаюнов Вячеслав</t>
        </is>
      </c>
    </row>
    <row r="52">
      <c r="A52" s="32" t="n">
        <v>51</v>
      </c>
      <c r="B52" s="32" t="inlineStr">
        <is>
          <t>529728</t>
        </is>
      </c>
      <c r="C52" s="32" t="inlineStr">
        <is>
          <t>26.08.2026</t>
        </is>
      </c>
      <c r="D52" s="24" t="inlineStr">
        <is>
          <t>Удмуртия</t>
        </is>
      </c>
      <c r="E52" s="24" t="inlineStr">
        <is>
          <t>Ижевск</t>
        </is>
      </c>
      <c r="F52" s="24" t="inlineStr">
        <is>
          <t>SOUEAST</t>
        </is>
      </c>
      <c r="G52" s="24" t="inlineStr">
        <is>
          <t>S06</t>
        </is>
      </c>
      <c r="H52" s="32" t="inlineStr">
        <is>
          <t>EC3DCUGA1TC000801</t>
        </is>
      </c>
      <c r="I52" s="24" t="inlineStr">
        <is>
          <t>ООО «Автомаркет» (Ижевск)</t>
        </is>
      </c>
      <c r="J52" s="24" t="inlineStr">
        <is>
          <t>ONLINE ООО "АВТОМАРКЕТ"</t>
        </is>
      </c>
      <c r="K52" s="24" t="inlineStr">
        <is>
          <t>МП2</t>
        </is>
      </c>
      <c r="L52" s="35" t="inlineStr">
        <is>
          <t>Нет</t>
        </is>
      </c>
      <c r="M52" s="27" t="n">
        <v>2550000</v>
      </c>
      <c r="N52" s="28" t="n">
        <v>51000</v>
      </c>
      <c r="O52" s="28" t="n">
        <v>41803.28</v>
      </c>
      <c r="P52" s="24" t="inlineStr">
        <is>
          <t>Фокин Борис</t>
        </is>
      </c>
      <c r="Q52" s="24" t="inlineStr">
        <is>
          <t>Гамаюнов Вячеслав</t>
        </is>
      </c>
    </row>
    <row r="53">
      <c r="A53" s="33" t="n">
        <v>52</v>
      </c>
      <c r="B53" s="33" t="inlineStr">
        <is>
          <t>517910</t>
        </is>
      </c>
      <c r="C53" s="33" t="inlineStr">
        <is>
          <t>16.08.2026</t>
        </is>
      </c>
      <c r="D53" s="19" t="inlineStr">
        <is>
          <t>Удмуртия</t>
        </is>
      </c>
      <c r="E53" s="19" t="inlineStr">
        <is>
          <t>Ижевск</t>
        </is>
      </c>
      <c r="F53" s="19" t="inlineStr">
        <is>
          <t>SOUEAST</t>
        </is>
      </c>
      <c r="G53" s="19" t="inlineStr">
        <is>
          <t>S06</t>
        </is>
      </c>
      <c r="H53" s="33" t="inlineStr">
        <is>
          <t>EC3DCUFD9TC000279</t>
        </is>
      </c>
      <c r="I53" s="19" t="inlineStr">
        <is>
          <t>ООО «Автомаркет» (Ижевск)</t>
        </is>
      </c>
      <c r="J53" s="19" t="inlineStr">
        <is>
          <t>ONLINE ООО "АВТОМАРКЕТ"</t>
        </is>
      </c>
      <c r="K53" s="19" t="inlineStr">
        <is>
          <t>МП2</t>
        </is>
      </c>
      <c r="L53" s="35" t="inlineStr">
        <is>
          <t>Нет</t>
        </is>
      </c>
      <c r="M53" s="22" t="n">
        <v>2220000</v>
      </c>
      <c r="N53" s="23" t="n">
        <v>44400</v>
      </c>
      <c r="O53" s="23" t="n">
        <v>36393.44</v>
      </c>
      <c r="P53" s="19" t="inlineStr">
        <is>
          <t>Фокин Борис</t>
        </is>
      </c>
      <c r="Q53" s="19" t="inlineStr">
        <is>
          <t>Гамаюнов Вячеслав</t>
        </is>
      </c>
    </row>
    <row r="54">
      <c r="A54" s="32" t="n">
        <v>53</v>
      </c>
      <c r="B54" s="32" t="inlineStr">
        <is>
          <t>517492</t>
        </is>
      </c>
      <c r="C54" s="32" t="inlineStr">
        <is>
          <t>15.08.2026</t>
        </is>
      </c>
      <c r="D54" s="24" t="inlineStr">
        <is>
          <t>Удмуртия</t>
        </is>
      </c>
      <c r="E54" s="24" t="inlineStr">
        <is>
          <t>Ижевск</t>
        </is>
      </c>
      <c r="F54" s="24" t="inlineStr">
        <is>
          <t>SOUEAST</t>
        </is>
      </c>
      <c r="G54" s="24" t="inlineStr">
        <is>
          <t>S06 2026</t>
        </is>
      </c>
      <c r="H54" s="32" t="inlineStr">
        <is>
          <t>EC3DCUFD8TC000483</t>
        </is>
      </c>
      <c r="I54" s="24" t="inlineStr">
        <is>
          <t>ООО «Автомаркет» (Ижевск)</t>
        </is>
      </c>
      <c r="J54" s="24" t="inlineStr">
        <is>
          <t>ONLINE ООО "АВТОМАРКЕТ"</t>
        </is>
      </c>
      <c r="K54" s="24" t="inlineStr">
        <is>
          <t>МП2</t>
        </is>
      </c>
      <c r="L54" s="35" t="inlineStr">
        <is>
          <t>Нет</t>
        </is>
      </c>
      <c r="M54" s="27" t="n">
        <v>2220000</v>
      </c>
      <c r="N54" s="28" t="n">
        <v>44400</v>
      </c>
      <c r="O54" s="28" t="n">
        <v>36393.44</v>
      </c>
      <c r="P54" s="24" t="inlineStr">
        <is>
          <t>Фокин Борис</t>
        </is>
      </c>
      <c r="Q54" s="24" t="inlineStr">
        <is>
          <t>Гамаюнов Вячеслав</t>
        </is>
      </c>
    </row>
    <row r="55">
      <c r="A55" s="34" t="inlineStr">
        <is>
          <t>ИТОГО</t>
        </is>
      </c>
      <c r="B55" s="34" t="inlineStr">
        <is>
          <t>53 сделок</t>
        </is>
      </c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4">
        <f>COUNTIF(L2:L54, "Да")</f>
        <v/>
      </c>
      <c r="M55" s="29">
        <f>SUM(M2:M54)</f>
        <v/>
      </c>
      <c r="N55" s="30">
        <f>SUM(N2:N54)</f>
        <v/>
      </c>
      <c r="O55" s="30">
        <f>SUM(O2:O54)</f>
        <v/>
      </c>
      <c r="P55" s="37" t="n"/>
      <c r="Q55" s="37" t="n"/>
    </row>
  </sheetData>
  <autoFilter ref="A1:Q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8" t="inlineStr">
        <is>
          <t>СПРАВКА ПО ПРОДАЖАМ В Г. ЧЕБОКСАРЫ (ЧУВАШСКАЯ РЕСПУБЛИКА)</t>
        </is>
      </c>
    </row>
    <row r="3">
      <c r="A3" s="39" t="inlineStr">
        <is>
          <t>Статус прямых продаж за Август 2026: 0 автомобилей (прямые сделки отсутствуют).</t>
        </is>
      </c>
    </row>
    <row r="5">
      <c r="A5" s="40" t="inlineStr">
        <is>
          <t>1. Причина: в CRM СберАвто на территории Чувашской Республики отсутствуют подключенные автодилеры с фактом закрытия сделок в августе.</t>
        </is>
      </c>
    </row>
    <row r="6">
      <c r="A6" s="40" t="inlineStr">
        <is>
          <t>2. Клиенты из Чувашии, оставлявшие заявки через онлайн-витрину СберАвто, обслуживаются и покупают автомобили в соседних регионах:</t>
        </is>
      </c>
    </row>
    <row r="7">
      <c r="A7" s="40" t="inlineStr">
        <is>
          <t xml:space="preserve">   • Республика Татарстан: г. Казань (67 авто), г. Набережные Челны (51 авто) — ключевой логистический хаб Поволжья;</t>
        </is>
      </c>
    </row>
    <row r="8">
      <c r="A8" s="40" t="inlineStr">
        <is>
          <t xml:space="preserve">   • Нижегородская область: г. Нижний Новгород (70 авто);</t>
        </is>
      </c>
    </row>
    <row r="9">
      <c r="A9" s="40" t="inlineStr">
        <is>
          <t xml:space="preserve">   • Республика Марий Эл: г. Йошкар-Ола (1 авто, дилер «Леон»).</t>
        </is>
      </c>
    </row>
    <row r="11">
      <c r="A11" s="39" t="inlineStr">
        <is>
          <t>3. Потенциал развития: подключение дилерских сетей в Чебоксарах («Альянс-Авто», «Диалог Авто», «ТрансТехСервис») позволит локализовать спрос клиентов Сбера.</t>
        </is>
      </c>
    </row>
  </sheetData>
  <mergeCells count="8">
    <mergeCell ref="A11:F11"/>
    <mergeCell ref="A1:F1"/>
    <mergeCell ref="A5:F5"/>
    <mergeCell ref="A9:F9"/>
    <mergeCell ref="A8:F8"/>
    <mergeCell ref="A6:F6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2026-09-09T08:33:48Z</dcterms:created>
  <dcterms:modified xmlns:dcterms="http://purl.org/dc/terms/" xmlns:xsi="http://www.w3.org/2001/XMLSchema-instance" xsi:type="dcterms:W3CDTF">2026-09-09T08:33:48Z</dcterms:modified>
</cp:coreProperties>
</file>