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kushnarenko.SBERAUTO\Downloads\"/>
    </mc:Choice>
  </mc:AlternateContent>
  <xr:revisionPtr revIDLastSave="0" documentId="13_ncr:1_{4515556C-5F9C-4B81-B33F-67D101408C9D}" xr6:coauthVersionLast="47" xr6:coauthVersionMax="47" xr10:uidLastSave="{00000000-0000-0000-0000-000000000000}"/>
  <bookViews>
    <workbookView xWindow="-28920" yWindow="-120" windowWidth="29040" windowHeight="15840" activeTab="1" xr2:uid="{7083BEA8-F3B0-4AC3-A315-E8FA15D9F0C4}"/>
  </bookViews>
  <sheets>
    <sheet name="Выручка ПГК" sheetId="1" r:id="rId1"/>
    <sheet name="ОТВ." sheetId="3" r:id="rId2"/>
    <sheet name="Численность директ_2905" sheetId="4" r:id="rId3"/>
  </sheets>
  <externalReferences>
    <externalReference r:id="rId4"/>
  </externalReferences>
  <definedNames>
    <definedName name="\">#REF!</definedName>
    <definedName name="_" hidden="1">#N/A</definedName>
    <definedName name="_________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z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z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z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Co50">{#N/A,"DR",FALSE,"increm pf";#N/A,"MAMSI",FALSE,"increm pf";#N/A,"MAXI",FALSE,"increm pf";#N/A,"PCAM",FALSE,"increm pf";#N/A,"PHSV",FALSE,"increm pf";#N/A,"SIE",FALSE,"increm pf"}</definedName>
    <definedName name="___________o1">{"det (May)",#N/A,FALSE,"June";"sum (MAY YTD)",#N/A,FALSE,"June YTD"}</definedName>
    <definedName name="__________a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_App2" hidden="1">{"IMRAK42x8x8",#N/A,TRUE,"IMRAK 1400 42U 800X800";"IMRAK32x6x6",#N/A,TRUE,"IMRAK 1400 32U 600x600";"IMRAK42x12x8",#N/A,TRUE,"IMRAK 1400 42U 1200x800";"IMRAK15x6x4",#N/A,TRUE,"IMRAK 400 15U FRONT SECTION"}</definedName>
    <definedName name="__________Co50" localSheetId="2" hidden="1">{#N/A,"DR",FALSE,"increm pf";#N/A,"MAMSI",FALSE,"increm pf";#N/A,"MAXI",FALSE,"increm pf";#N/A,"PCAM",FALSE,"increm pf";#N/A,"PHSV",FALSE,"increm pf";#N/A,"SIE",FALSE,"increm pf"}</definedName>
    <definedName name="__________Co50">#REF!</definedName>
    <definedName name="__________o1" localSheetId="2" hidden="1">{"det (May)",#N/A,FALSE,"June";"sum (MAY YTD)",#N/A,FALSE,"June YTD"}</definedName>
    <definedName name="__________o1">#REF!</definedName>
    <definedName name="_________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a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__App2" hidden="1">{"IMRAK42x8x8",#N/A,TRUE,"IMRAK 1400 42U 800X800";"IMRAK32x6x6",#N/A,TRUE,"IMRAK 1400 32U 600x600";"IMRAK42x12x8",#N/A,TRUE,"IMRAK 1400 42U 1200x800";"IMRAK15x6x4",#N/A,TRUE,"IMRAK 400 15U FRONT SECTION"}</definedName>
    <definedName name="_________Co50" localSheetId="2" hidden="1">{#N/A,"DR",FALSE,"increm pf";#N/A,"MAMSI",FALSE,"increm pf";#N/A,"MAXI",FALSE,"increm pf";#N/A,"PCAM",FALSE,"increm pf";#N/A,"PHSV",FALSE,"increm pf";#N/A,"SIE",FALSE,"increm pf"}</definedName>
    <definedName name="_________Co50">#REF!</definedName>
    <definedName name="_________o1" localSheetId="2" hidden="1">{"det (May)",#N/A,FALSE,"June";"sum (MAY YTD)",#N/A,FALSE,"June YTD"}</definedName>
    <definedName name="_________o1">#REF!</definedName>
    <definedName name="________a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a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a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a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a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a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Co50" localSheetId="2" hidden="1">{#N/A,"DR",FALSE,"increm pf";#N/A,"MAMSI",FALSE,"increm pf";#N/A,"MAXI",FALSE,"increm pf";#N/A,"PCAM",FALSE,"increm pf";#N/A,"PHSV",FALSE,"increm pf";#N/A,"SIE",FALSE,"increm pf"}</definedName>
    <definedName name="________Co50">#REF!</definedName>
    <definedName name="________o1" localSheetId="2" hidden="1">{"det (May)",#N/A,FALSE,"June";"sum (MAY YTD)",#N/A,FALSE,"June YTD"}</definedName>
    <definedName name="________o1">#REF!</definedName>
    <definedName name="________wrn2" localSheetId="2" hidden="1">{"glc1",#N/A,FALSE,"GLC";"glc2",#N/A,FALSE,"GLC";"glc3",#N/A,FALSE,"GLC";"glc4",#N/A,FALSE,"GLC";"glc5",#N/A,FALSE,"GLC"}</definedName>
    <definedName name="________wrn2" hidden="1">{"glc1",#N/A,FALSE,"GLC";"glc2",#N/A,FALSE,"GLC";"glc3",#N/A,FALSE,"GLC";"glc4",#N/A,FALSE,"GLC";"glc5",#N/A,FALSE,"GLC"}</definedName>
    <definedName name="_______a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_App2" hidden="1">{"IMRAK42x8x8",#N/A,TRUE,"IMRAK 1400 42U 800X800";"IMRAK32x6x6",#N/A,TRUE,"IMRAK 1400 32U 600x600";"IMRAK42x12x8",#N/A,TRUE,"IMRAK 1400 42U 1200x800";"IMRAK15x6x4",#N/A,TRUE,"IMRAK 400 15U FRONT SECTION"}</definedName>
    <definedName name="_______Co50" localSheetId="2" hidden="1">{#N/A,"DR",FALSE,"increm pf";#N/A,"MAMSI",FALSE,"increm pf";#N/A,"MAXI",FALSE,"increm pf";#N/A,"PCAM",FALSE,"increm pf";#N/A,"PHSV",FALSE,"increm pf";#N/A,"SIE",FALSE,"increm pf"}</definedName>
    <definedName name="_______Co50">#REF!</definedName>
    <definedName name="_______o1" localSheetId="2" hidden="1">{"det (May)",#N/A,FALSE,"June";"sum (MAY YTD)",#N/A,FALSE,"June YTD"}</definedName>
    <definedName name="_______o1">#REF!</definedName>
    <definedName name="______a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_App2" hidden="1">{"IMRAK42x8x8",#N/A,TRUE,"IMRAK 1400 42U 800X800";"IMRAK32x6x6",#N/A,TRUE,"IMRAK 1400 32U 600x600";"IMRAK42x12x8",#N/A,TRUE,"IMRAK 1400 42U 1200x800";"IMRAK15x6x4",#N/A,TRUE,"IMRAK 400 15U FRONT SECTION"}</definedName>
    <definedName name="______Co50" localSheetId="2" hidden="1">{#N/A,"DR",FALSE,"increm pf";#N/A,"MAMSI",FALSE,"increm pf";#N/A,"MAXI",FALSE,"increm pf";#N/A,"PCAM",FALSE,"increm pf";#N/A,"PHSV",FALSE,"increm pf";#N/A,"SIE",FALSE,"increm pf"}</definedName>
    <definedName name="______Co50">#REF!</definedName>
    <definedName name="______o1" localSheetId="2" hidden="1">{"det (May)",#N/A,FALSE,"June";"sum (MAY YTD)",#N/A,FALSE,"June YTD"}</definedName>
    <definedName name="______o1">#REF!</definedName>
    <definedName name="______qq1" localSheetId="2" hidden="1">{0,0,0,0;0,0,0,0;0,0,0,0;0,0,0,0;0,0,0,0;0,0,FALSE,0;0,#N/A,FALSE,0;0,#N/A,FALSE,0}</definedName>
    <definedName name="______qq1" hidden="1">{0,0,0,0;0,0,0,0;0,0,0,0;0,0,0,0;0,0,0,0;0,0,FALSE,0;0,#N/A,FALSE,0;0,#N/A,FALSE,0}</definedName>
    <definedName name="______TV1" localSheetId="2" hidden="1">{"IAS Mapping",#N/A,TRUE,"RSA_FS"}</definedName>
    <definedName name="______TV1" hidden="1">{"IAS Mapping",#N/A,TRUE,"RSA_FS"}</definedName>
    <definedName name="______wrn2" localSheetId="2" hidden="1">{"glc1",#N/A,FALSE,"GLC";"glc2",#N/A,FALSE,"GLC";"glc3",#N/A,FALSE,"GLC";"glc4",#N/A,FALSE,"GLC";"glc5",#N/A,FALSE,"GLC"}</definedName>
    <definedName name="______wrn2" hidden="1">{"glc1",#N/A,FALSE,"GLC";"glc2",#N/A,FALSE,"GLC";"glc3",#N/A,FALSE,"GLC";"glc4",#N/A,FALSE,"GLC";"glc5",#N/A,FALSE,"GLC"}</definedName>
    <definedName name="______wrn222" localSheetId="2" hidden="1">{"glc1",#N/A,FALSE,"GLC";"glc2",#N/A,FALSE,"GLC";"glc3",#N/A,FALSE,"GLC";"glc4",#N/A,FALSE,"GLC";"glc5",#N/A,FALSE,"GLC"}</definedName>
    <definedName name="______wrn222" hidden="1">{"glc1",#N/A,FALSE,"GLC";"glc2",#N/A,FALSE,"GLC";"glc3",#N/A,FALSE,"GLC";"glc4",#N/A,FALSE,"GLC";"glc5",#N/A,FALSE,"GLC"}</definedName>
    <definedName name="______Вфе" hidden="1">#NAME?</definedName>
    <definedName name="_____a1" localSheetId="2" hidden="1">{#N/A,#N/A,FALSE,"Закрытые кредиты"}</definedName>
    <definedName name="_____a1" hidden="1">{#N/A,#N/A,FALSE,"Закрытые кредиты"}</definedName>
    <definedName name="_____a2" localSheetId="2" hidden="1">{#N/A,#N/A,FALSE,"Закрытые кредиты"}</definedName>
    <definedName name="_____a2" hidden="1">{#N/A,#N/A,FALSE,"Закрытые кредиты"}</definedName>
    <definedName name="____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a3" localSheetId="2" hidden="1">{#N/A,#N/A,FALSE,"Закрытые кредиты"}</definedName>
    <definedName name="_____a3" hidden="1">{#N/A,#N/A,FALSE,"Закрытые кредиты"}</definedName>
    <definedName name="_____a4" localSheetId="2" hidden="1">{#N/A,#N/A,FALSE,"Закрытые кредиты"}</definedName>
    <definedName name="_____a4" hidden="1">{#N/A,#N/A,FALSE,"Закрытые кредиты"}</definedName>
    <definedName name="_____a5" localSheetId="2" hidden="1">{#N/A,#N/A,FALSE,"Закрытые кредиты"}</definedName>
    <definedName name="_____a5" hidden="1">{#N/A,#N/A,FALSE,"Закрытые кредиты"}</definedName>
    <definedName name="_____a6" localSheetId="2" hidden="1">{#N/A,#N/A,FALSE,"Закрытые кредиты"}</definedName>
    <definedName name="_____a6" hidden="1">{#N/A,#N/A,FALSE,"Закрытые кредиты"}</definedName>
    <definedName name="_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_App2" hidden="1">{"IMRAK42x8x8",#N/A,TRUE,"IMRAK 1400 42U 800X800";"IMRAK32x6x6",#N/A,TRUE,"IMRAK 1400 32U 600x600";"IMRAK42x12x8",#N/A,TRUE,"IMRAK 1400 42U 1200x800";"IMRAK15x6x4",#N/A,TRUE,"IMRAK 400 15U FRONT SECTION"}</definedName>
    <definedName name="_____Co50" localSheetId="2" hidden="1">{#N/A,"DR",FALSE,"increm pf";#N/A,"MAMSI",FALSE,"increm pf";#N/A,"MAXI",FALSE,"increm pf";#N/A,"PCAM",FALSE,"increm pf";#N/A,"PHSV",FALSE,"increm pf";#N/A,"SIE",FALSE,"increm pf"}</definedName>
    <definedName name="_____Co50">#REF!</definedName>
    <definedName name="_____o1" localSheetId="2" hidden="1">{"det (May)",#N/A,FALSE,"June";"sum (MAY YTD)",#N/A,FALSE,"June YTD"}</definedName>
    <definedName name="_____o1">#REF!</definedName>
    <definedName name="_____qq1" localSheetId="2" hidden="1">{0,0,0,0;0,0,0,0;0,0,0,0;0,0,0,0;0,0,0,0;0,0,FALSE,0;0,#N/A,FALSE,0;0,#N/A,FALSE,0}</definedName>
    <definedName name="_____qq1" hidden="1">{0,0,0,0;0,0,0,0;0,0,0,0;0,0,0,0;0,0,0,0;0,0,FALSE,0;0,#N/A,FALSE,0;0,#N/A,FALSE,0}</definedName>
    <definedName name="_____TV1" localSheetId="2" hidden="1">{"IAS Mapping",#N/A,TRUE,"RSA_FS"}</definedName>
    <definedName name="_____TV1" hidden="1">{"IAS Mapping",#N/A,TRUE,"RSA_FS"}</definedName>
    <definedName name="_____wrn2" localSheetId="2" hidden="1">{"glc1",#N/A,FALSE,"GLC";"glc2",#N/A,FALSE,"GLC";"glc3",#N/A,FALSE,"GLC";"glc4",#N/A,FALSE,"GLC";"glc5",#N/A,FALSE,"GLC"}</definedName>
    <definedName name="_____wrn2" hidden="1">{"glc1",#N/A,FALSE,"GLC";"glc2",#N/A,FALSE,"GLC";"glc3",#N/A,FALSE,"GLC";"glc4",#N/A,FALSE,"GLC";"glc5",#N/A,FALSE,"GLC"}</definedName>
    <definedName name="_____wrn222" localSheetId="2" hidden="1">{"glc1",#N/A,FALSE,"GLC";"glc2",#N/A,FALSE,"GLC";"glc3",#N/A,FALSE,"GLC";"glc4",#N/A,FALSE,"GLC";"glc5",#N/A,FALSE,"GLC"}</definedName>
    <definedName name="_____wrn222" hidden="1">{"glc1",#N/A,FALSE,"GLC";"glc2",#N/A,FALSE,"GLC";"glc3",#N/A,FALSE,"GLC";"glc4",#N/A,FALSE,"GLC";"glc5",#N/A,FALSE,"GLC"}</definedName>
    <definedName name="_____z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a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_App2" hidden="1">{"IMRAK42x8x8",#N/A,TRUE,"IMRAK 1400 42U 800X800";"IMRAK32x6x6",#N/A,TRUE,"IMRAK 1400 32U 600x600";"IMRAK42x12x8",#N/A,TRUE,"IMRAK 1400 42U 1200x800";"IMRAK15x6x4",#N/A,TRUE,"IMRAK 400 15U FRONT SECTION"}</definedName>
    <definedName name="____Co50" localSheetId="2" hidden="1">{#N/A,"DR",FALSE,"increm pf";#N/A,"MAMSI",FALSE,"increm pf";#N/A,"MAXI",FALSE,"increm pf";#N/A,"PCAM",FALSE,"increm pf";#N/A,"PHSV",FALSE,"increm pf";#N/A,"SIE",FALSE,"increm pf"}</definedName>
    <definedName name="____Co50">#REF!</definedName>
    <definedName name="____er1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__er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__o1" localSheetId="2" hidden="1">{"det (May)",#N/A,FALSE,"June";"sum (MAY YTD)",#N/A,FALSE,"June YTD"}</definedName>
    <definedName name="____o1">#REF!</definedName>
    <definedName name="____qq1" localSheetId="2" hidden="1">{0,0,0,0;0,0,0,0;0,0,0,0;0,0,0,0;0,0,0,0;0,0,FALSE,0;0,#N/A,FALSE,0;0,#N/A,FALSE,0}</definedName>
    <definedName name="____qq1" hidden="1">{0,0,0,0;0,0,0,0;0,0,0,0;0,0,0,0;0,0,0,0;0,0,FALSE,0;0,#N/A,FALSE,0;0,#N/A,FALSE,0}</definedName>
    <definedName name="____TV1" localSheetId="2" hidden="1">{"IAS Mapping",#N/A,TRUE,"RSA_FS"}</definedName>
    <definedName name="____TV1" hidden="1">{"IAS Mapping",#N/A,TRUE,"RSA_FS"}</definedName>
    <definedName name="____wrn2" localSheetId="2" hidden="1">{"glc1",#N/A,FALSE,"GLC";"glc2",#N/A,FALSE,"GLC";"glc3",#N/A,FALSE,"GLC";"glc4",#N/A,FALSE,"GLC";"glc5",#N/A,FALSE,"GLC"}</definedName>
    <definedName name="____wrn2" hidden="1">{"glc1",#N/A,FALSE,"GLC";"glc2",#N/A,FALSE,"GLC";"glc3",#N/A,FALSE,"GLC";"glc4",#N/A,FALSE,"GLC";"glc5",#N/A,FALSE,"GLC"}</definedName>
    <definedName name="____wrn222" localSheetId="2" hidden="1">{"glc1",#N/A,FALSE,"GLC";"glc2",#N/A,FALSE,"GLC";"glc3",#N/A,FALSE,"GLC";"glc4",#N/A,FALSE,"GLC";"glc5",#N/A,FALSE,"GLC"}</definedName>
    <definedName name="____wrn222" hidden="1">{"glc1",#N/A,FALSE,"GLC";"glc2",#N/A,FALSE,"GLC";"glc3",#N/A,FALSE,"GLC";"glc4",#N/A,FALSE,"GLC";"glc5",#N/A,FALSE,"GLC"}</definedName>
    <definedName name="____xlfn.BAHTTEXT" hidden="1">#NAME?</definedName>
    <definedName name="____z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123Graf_BChart_1A" hidden="1">#REF!</definedName>
    <definedName name="___a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_App2" hidden="1">{"IMRAK42x8x8",#N/A,TRUE,"IMRAK 1400 42U 800X800";"IMRAK32x6x6",#N/A,TRUE,"IMRAK 1400 32U 600x600";"IMRAK42x12x8",#N/A,TRUE,"IMRAK 1400 42U 1200x800";"IMRAK15x6x4",#N/A,TRUE,"IMRAK 400 15U FRONT SECTION"}</definedName>
    <definedName name="___Co50" localSheetId="2" hidden="1">{#N/A,"DR",FALSE,"increm pf";#N/A,"MAMSI",FALSE,"increm pf";#N/A,"MAXI",FALSE,"increm pf";#N/A,"PCAM",FALSE,"increm pf";#N/A,"PHSV",FALSE,"increm pf";#N/A,"SIE",FALSE,"increm pf"}</definedName>
    <definedName name="___Co50">#REF!</definedName>
    <definedName name="___o1" localSheetId="2" hidden="1">{"det (May)",#N/A,FALSE,"June";"sum (MAY YTD)",#N/A,FALSE,"June YTD"}</definedName>
    <definedName name="___o1">#REF!</definedName>
    <definedName name="___qq1" localSheetId="2" hidden="1">{0,0,0,0;0,0,0,0;0,0,0,0;0,0,0,0;0,0,0,0;0,0,FALSE,0;0,#N/A,FALSE,0;0,#N/A,FALSE,0}</definedName>
    <definedName name="___qq1" hidden="1">{0,0,0,0;0,0,0,0;0,0,0,0;0,0,0,0;0,0,0,0;0,0,FALSE,0;0,#N/A,FALSE,0;0,#N/A,FALSE,0}</definedName>
    <definedName name="___TV1" localSheetId="2" hidden="1">{"IAS Mapping",#N/A,TRUE,"RSA_FS"}</definedName>
    <definedName name="___TV1" hidden="1">{"IAS Mapping",#N/A,TRUE,"RSA_FS"}</definedName>
    <definedName name="___wrn2" localSheetId="2" hidden="1">{"glc1",#N/A,FALSE,"GLC";"glc2",#N/A,FALSE,"GLC";"glc3",#N/A,FALSE,"GLC";"glc4",#N/A,FALSE,"GLC";"glc5",#N/A,FALSE,"GLC"}</definedName>
    <definedName name="___wrn2" hidden="1">{"glc1",#N/A,FALSE,"GLC";"glc2",#N/A,FALSE,"GLC";"glc3",#N/A,FALSE,"GLC";"glc4",#N/A,FALSE,"GLC";"glc5",#N/A,FALSE,"GLC"}</definedName>
    <definedName name="___wrn222" localSheetId="2" hidden="1">{"glc1",#N/A,FALSE,"GLC";"glc2",#N/A,FALSE,"GLC";"glc3",#N/A,FALSE,"GLC";"glc4",#N/A,FALSE,"GLC";"glc5",#N/A,FALSE,"GLC"}</definedName>
    <definedName name="___wrn222" hidden="1">{"glc1",#N/A,FALSE,"GLC";"glc2",#N/A,FALSE,"GLC";"glc3",#N/A,FALSE,"GLC";"glc4",#N/A,FALSE,"GLC";"glc5",#N/A,FALSE,"GLC"}</definedName>
    <definedName name="___xlfn.BAHTTEXT">#NAME?</definedName>
    <definedName name="___z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1__123Graph_AChart_1A" hidden="1">#REF!</definedName>
    <definedName name="__1__123Graph_ACHART_4" hidden="1">#REF!</definedName>
    <definedName name="__10__123Graph_XђҐ­в_ЎҐ_м­_бвм" hidden="1">#NAME?</definedName>
    <definedName name="__11__123Graph_XЋЎ_а_з.__Єв._1" hidden="1">#NAME?</definedName>
    <definedName name="__12__123Graph_XЋЎ_а_в­л__Є_ЇЁв" hidden="1">#NAME?</definedName>
    <definedName name="__123" hidden="1">#REF!</definedName>
    <definedName name="__123Graf_AChart_1A" hidden="1">#REF!</definedName>
    <definedName name="__123Graph_">#REF!</definedName>
    <definedName name="__123Graph_A" localSheetId="2" hidden="1">#REF!</definedName>
    <definedName name="__123Graph_A">#REF!</definedName>
    <definedName name="__123Graph_ABBP" hidden="1">#REF!</definedName>
    <definedName name="__123Graph_ABBP1" hidden="1">#REF!</definedName>
    <definedName name="__123Graph_ACASHFLOW" hidden="1">#N/A</definedName>
    <definedName name="__123Graph_AChart" hidden="1">#REF!</definedName>
    <definedName name="__123Graph_ADRIVER2" hidden="1">#N/A</definedName>
    <definedName name="__123Graph_AFONDI" hidden="1">#REF!</definedName>
    <definedName name="__123Graph_AINCOME1" hidden="1">#N/A</definedName>
    <definedName name="__123Graph_AINCOME2" hidden="1">#N/A</definedName>
    <definedName name="__123Graph_AINFLAC" hidden="1">#REF!</definedName>
    <definedName name="__123Graph_ANAC.DOX" hidden="1">#REF!</definedName>
    <definedName name="__123Graph_ATRUD" hidden="1">#REF!</definedName>
    <definedName name="__123Graph_A所要稼働ｸﾞﾗﾌ" hidden="1">#NAME?</definedName>
    <definedName name="__123Graph_B" localSheetId="2" hidden="1">#REF!</definedName>
    <definedName name="__123Graph_B">#REF!</definedName>
    <definedName name="__123Graph_BBBP" hidden="1">#REF!</definedName>
    <definedName name="__123Graph_BCASHFLOW" hidden="1">#N/A</definedName>
    <definedName name="__123Graph_BCurrent" hidden="1">#NAME?</definedName>
    <definedName name="__123Graph_BDRIVER2" hidden="1">#N/A</definedName>
    <definedName name="__123Graph_BFONDI" hidden="1">#REF!</definedName>
    <definedName name="__123Graph_BINCOME1" hidden="1">#N/A</definedName>
    <definedName name="__123Graph_BINCOME2" hidden="1">#N/A</definedName>
    <definedName name="__123Graph_BINFLAC" hidden="1">#REF!</definedName>
    <definedName name="__123Graph_BNAC.DOX" hidden="1">#REF!</definedName>
    <definedName name="__123Graph_BTRUD" hidden="1">#REF!</definedName>
    <definedName name="__123Graph_B所要稼働ｸﾞﾗﾌ" hidden="1">#NAME?</definedName>
    <definedName name="__123Graph_C" localSheetId="2" hidden="1">#REF!</definedName>
    <definedName name="__123Graph_C">#REF!</definedName>
    <definedName name="__123Graph_CBBP" hidden="1">#REF!</definedName>
    <definedName name="__123Graph_CCurrent" hidden="1">#NAME?</definedName>
    <definedName name="__123Graph_CFONDI" hidden="1">#REF!</definedName>
    <definedName name="__123Graph_CTRUD" hidden="1">#REF!</definedName>
    <definedName name="__123Graph_D" localSheetId="2" hidden="1">#REF!</definedName>
    <definedName name="__123Graph_D">#REF!</definedName>
    <definedName name="__123Graph_DCurrent" hidden="1">#NAME?</definedName>
    <definedName name="__123Graph_E" localSheetId="2" hidden="1">#REF!</definedName>
    <definedName name="__123Graph_E">#REF!</definedName>
    <definedName name="__123Graph_ECurrent" hidden="1">#NAME?</definedName>
    <definedName name="__123Graph_F">#REF!</definedName>
    <definedName name="__123Graph_FCurrent" hidden="1">#NAME?</definedName>
    <definedName name="__123Graph_LBL_A" hidden="1">#NAME?</definedName>
    <definedName name="__123Graph_LBL_B" hidden="1">#NAME?</definedName>
    <definedName name="__123Graph_X">#REF!</definedName>
    <definedName name="__123Graph_XBBP" hidden="1">#REF!</definedName>
    <definedName name="__123Graph_XBBP1" hidden="1">#REF!</definedName>
    <definedName name="__123Graph_XCASHFLOW" hidden="1">#N/A</definedName>
    <definedName name="__123Graph_XDRIVER2" hidden="1">#N/A</definedName>
    <definedName name="__123Graph_XDuPont" hidden="1">#NAME?</definedName>
    <definedName name="__123Graph_XFONDI" hidden="1">#REF!</definedName>
    <definedName name="__123Graph_XINCOME1" hidden="1">#N/A</definedName>
    <definedName name="__123Graph_XINCOME2" hidden="1">#N/A</definedName>
    <definedName name="__123Graph_XINFLAC" hidden="1">#REF!</definedName>
    <definedName name="__123Graph_XNAC.DOX" hidden="1">#REF!</definedName>
    <definedName name="__123Graph_XTRUD" hidden="1">#REF!</definedName>
    <definedName name="__123Graph_X所要稼働ｸﾞﾗﾌ" hidden="1">#NAME?</definedName>
    <definedName name="__2__123Graph_AЋЎ_а_в­л__Є_ЇЁв" hidden="1">#NAME?</definedName>
    <definedName name="__2__123Graph_BChart_1A" localSheetId="2" hidden="1">#REF!</definedName>
    <definedName name="__2__123Graph_BChart_1A" hidden="1">#REF!</definedName>
    <definedName name="__2__123Graph_XCHART_3" localSheetId="2" hidden="1">#REF!</definedName>
    <definedName name="__2__123Graph_XCHART_3" hidden="1">#REF!</definedName>
    <definedName name="__3__123Graph_XCHART_4" hidden="1">#REF!</definedName>
    <definedName name="__4__123Graph_BЋЎ_а_в­л__Є_ЇЁв" hidden="1">#NAME?</definedName>
    <definedName name="__8__123Graph_EЋЎ_а_в­л__Є_ЇЁв" hidden="1">#NAME?</definedName>
    <definedName name="__a1" localSheetId="2" hidden="1">{#N/A,#N/A,FALSE,"Закрытые кредиты"}</definedName>
    <definedName name="__a1" hidden="1">{#N/A,#N/A,FALSE,"Закрытые кредиты"}</definedName>
    <definedName name="__A11">{#N/A,#N/A,FALSE,"Umsatz 99";#N/A,#N/A,FALSE,"ER 99 "}</definedName>
    <definedName name="__a2" localSheetId="2" hidden="1">{"'Sheet1'!$A$1:$G$96","'Sheet1'!$A$1:$H$96"}</definedName>
    <definedName name="__a2" hidden="1">{"'Sheet1'!$A$1:$G$96","'Sheet1'!$A$1:$H$96"}</definedName>
    <definedName name="_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a3" localSheetId="2" hidden="1">{#N/A,#N/A,FALSE,"Закрытые кредиты"}</definedName>
    <definedName name="__a3" hidden="1">{#N/A,#N/A,FALSE,"Закрытые кредиты"}</definedName>
    <definedName name="__a4" localSheetId="2" hidden="1">{#N/A,#N/A,FALSE,"Закрытые кредиты"}</definedName>
    <definedName name="__a4" hidden="1">{#N/A,#N/A,FALSE,"Закрытые кредиты"}</definedName>
    <definedName name="__a5" localSheetId="2" hidden="1">{#N/A,#N/A,FALSE,"Закрытые кредиты"}</definedName>
    <definedName name="__a5" hidden="1">{#N/A,#N/A,FALSE,"Закрытые кредиты"}</definedName>
    <definedName name="__a6" localSheetId="2" hidden="1">{#N/A,#N/A,FALSE,"Закрытые кредиты"}</definedName>
    <definedName name="__a6" hidden="1">{#N/A,#N/A,FALSE,"Закрытые кредиты"}</definedName>
    <definedName name="__App2" localSheetId="2" hidden="1">{"IMRAK42x8x8",#N/A,TRUE,"IMRAK 1400 42U 800X800";"IMRAK32x6x6",#N/A,TRUE,"IMRAK 1400 32U 600x600";"IMRAK42x12x8",#N/A,TRUE,"IMRAK 1400 42U 1200x800";"IMRAK15x6x4",#N/A,TRUE,"IMRAK 400 15U FRONT SECTION"}</definedName>
    <definedName name="__App2" hidden="1">{"IMRAK42x8x8",#N/A,TRUE,"IMRAK 1400 42U 800X800";"IMRAK32x6x6",#N/A,TRUE,"IMRAK 1400 32U 600x600";"IMRAK42x12x8",#N/A,TRUE,"IMRAK 1400 42U 1200x800";"IMRAK15x6x4",#N/A,TRUE,"IMRAK 400 15U FRONT SECTION"}</definedName>
    <definedName name="__APW_RESTORE_DATA104__" hidden="1">#REF!</definedName>
    <definedName name="__APW_RESTORE_DATA105__" hidden="1">#REF!</definedName>
    <definedName name="__APW_RESTORE_DATA106__" hidden="1">#REF!</definedName>
    <definedName name="__APW_RESTORE_DATA107__" hidden="1">#REF!</definedName>
    <definedName name="__BALANCE_VAL">#REF!</definedName>
    <definedName name="__BALANCE_VAL2">#REF!</definedName>
    <definedName name="__BRN72">#REF!</definedName>
    <definedName name="__c">{"Fiesta Facer Page",#N/A,FALSE,"Q_C_S";"Fiesta Main Page",#N/A,FALSE,"V_L";"Fiesta 95BP Struct",#N/A,FALSE,"StructBP";"Fiesta Post 95BP Struct",#N/A,FALSE,"AdjStructBP"}</definedName>
    <definedName name="__Co50" localSheetId="2" hidden="1">{#N/A,"DR",FALSE,"increm pf";#N/A,"MAMSI",FALSE,"increm pf";#N/A,"MAXI",FALSE,"increm pf";#N/A,"PCAM",FALSE,"increm pf";#N/A,"PHSV",FALSE,"increm pf";#N/A,"SIE",FALSE,"increm pf"}</definedName>
    <definedName name="__Co50">#REF!</definedName>
    <definedName name="__cvb5" localSheetId="2" hidden="1">{"'Sheet1'!$A$1:$G$96","'Sheet1'!$A$1:$H$96"}</definedName>
    <definedName name="__cvb5" hidden="1">{"'Sheet1'!$A$1:$G$96","'Sheet1'!$A$1:$H$96"}</definedName>
    <definedName name="__cvb6" localSheetId="2" hidden="1">{"'Sheet1'!$A$1:$G$96","'Sheet1'!$A$1:$H$96"}</definedName>
    <definedName name="__cvb6" hidden="1">{"'Sheet1'!$A$1:$G$96","'Sheet1'!$A$1:$H$96"}</definedName>
    <definedName name="__ddd1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_ddd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_er1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er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_FDS_HYPERLINK_TOGGLE_STATE__">"ON"</definedName>
    <definedName name="__IntlFixup">1</definedName>
    <definedName name="__IntlFixupTable" localSheetId="2" hidden="1">#REF!</definedName>
    <definedName name="__IntlFixupTable" hidden="1">#REF!</definedName>
    <definedName name="__LIST_VAL">#REF!</definedName>
    <definedName name="__nm7" localSheetId="2" hidden="1">{"'Sheet1'!$A$1:$G$96","'Sheet1'!$A$1:$H$96"}</definedName>
    <definedName name="__nm7" hidden="1">{"'Sheet1'!$A$1:$G$96","'Sheet1'!$A$1:$H$96"}</definedName>
    <definedName name="__nm8" localSheetId="2" hidden="1">{"'Sheet1'!$A$1:$G$96","'Sheet1'!$A$1:$H$96"}</definedName>
    <definedName name="__nm8" hidden="1">{"'Sheet1'!$A$1:$G$96","'Sheet1'!$A$1:$H$96"}</definedName>
    <definedName name="__o1" localSheetId="2" hidden="1">{"det (May)",#N/A,FALSE,"June";"sum (MAY YTD)",#N/A,FALSE,"June YTD"}</definedName>
    <definedName name="__o1">#REF!</definedName>
    <definedName name="__ot97" localSheetId="2" hidden="1">#REF!</definedName>
    <definedName name="__ot97" hidden="1">#REF!</definedName>
    <definedName name="__q1" localSheetId="2" hidden="1">{"'Sheet1'!$A$1:$G$96","'Sheet1'!$A$1:$H$96"}</definedName>
    <definedName name="__q1" hidden="1">{"'Sheet1'!$A$1:$G$96","'Sheet1'!$A$1:$H$96"}</definedName>
    <definedName name="__q3" localSheetId="2" hidden="1">{"'Sheet1'!$A$1:$G$96","'Sheet1'!$A$1:$H$96"}</definedName>
    <definedName name="__q3" hidden="1">{"'Sheet1'!$A$1:$G$96","'Sheet1'!$A$1:$H$96"}</definedName>
    <definedName name="__q4" localSheetId="2" hidden="1">{"'Sheet1'!$A$1:$G$96","'Sheet1'!$A$1:$H$96"}</definedName>
    <definedName name="__q4" hidden="1">{"'Sheet1'!$A$1:$G$96","'Sheet1'!$A$1:$H$96"}</definedName>
    <definedName name="__q5" localSheetId="2" hidden="1">{"'Sheet1'!$A$1:$G$96","'Sheet1'!$A$1:$H$96"}</definedName>
    <definedName name="__q5" hidden="1">{"'Sheet1'!$A$1:$G$96","'Sheet1'!$A$1:$H$96"}</definedName>
    <definedName name="__q6" localSheetId="2" hidden="1">{"'Sheet1'!$A$1:$G$96","'Sheet1'!$A$1:$H$96"}</definedName>
    <definedName name="__q6" hidden="1">{"'Sheet1'!$A$1:$G$96","'Sheet1'!$A$1:$H$96"}</definedName>
    <definedName name="__q8" localSheetId="2" hidden="1">{"'Sheet1'!$A$1:$G$96","'Sheet1'!$A$1:$H$96"}</definedName>
    <definedName name="__q8" hidden="1">{"'Sheet1'!$A$1:$G$96","'Sheet1'!$A$1:$H$96"}</definedName>
    <definedName name="__q9" localSheetId="2" hidden="1">{"'Sheet1'!$A$1:$G$96","'Sheet1'!$A$1:$H$96"}</definedName>
    <definedName name="__q9" hidden="1">{"'Sheet1'!$A$1:$G$96","'Sheet1'!$A$1:$H$96"}</definedName>
    <definedName name="__qq1" localSheetId="2" hidden="1">{0,0,0,0;0,0,0,0;0,0,0,0;0,0,0,0;0,0,0,0;0,0,FALSE,0;0,#N/A,FALSE,0;0,#N/A,FALSE,0}</definedName>
    <definedName name="__qq1" hidden="1">{0,0,0,0;0,0,0,0;0,0,0,0;0,0,0,0;0,0,0,0;0,0,FALSE,0;0,#N/A,FALSE,0;0,#N/A,FALSE,0}</definedName>
    <definedName name="__sdf2" localSheetId="2" hidden="1">{"'Sheet1'!$A$1:$G$96","'Sheet1'!$A$1:$H$96"}</definedName>
    <definedName name="__sdf2" hidden="1">{"'Sheet1'!$A$1:$G$96","'Sheet1'!$A$1:$H$96"}</definedName>
    <definedName name="__TV1" localSheetId="2" hidden="1">{"IAS Mapping",#N/A,TRUE,"RSA_FS"}</definedName>
    <definedName name="__TV1" hidden="1">{"IAS Mapping",#N/A,TRUE,"RSA_FS"}</definedName>
    <definedName name="__wrn2" localSheetId="2" hidden="1">{"glc1",#N/A,FALSE,"GLC";"glc2",#N/A,FALSE,"GLC";"glc3",#N/A,FALSE,"GLC";"glc4",#N/A,FALSE,"GLC";"glc5",#N/A,FALSE,"GLC"}</definedName>
    <definedName name="__wrn2" hidden="1">{"glc1",#N/A,FALSE,"GLC";"glc2",#N/A,FALSE,"GLC";"glc3",#N/A,FALSE,"GLC";"glc4",#N/A,FALSE,"GLC";"glc5",#N/A,FALSE,"GLC"}</definedName>
    <definedName name="__wrn222" localSheetId="2" hidden="1">{"glc1",#N/A,FALSE,"GLC";"glc2",#N/A,FALSE,"GLC";"glc3",#N/A,FALSE,"GLC";"glc4",#N/A,FALSE,"GLC";"glc5",#N/A,FALSE,"GLC"}</definedName>
    <definedName name="__wrn222" hidden="1">{"glc1",#N/A,FALSE,"GLC";"glc2",#N/A,FALSE,"GLC";"glc3",#N/A,FALSE,"GLC";"glc4",#N/A,FALSE,"GLC";"glc5",#N/A,FALSE,"GLC"}</definedName>
    <definedName name="__x1" localSheetId="2" hidden="1">{"'Sheet1'!$A$1:$G$96","'Sheet1'!$A$1:$H$96"}</definedName>
    <definedName name="__x1" hidden="1">{"'Sheet1'!$A$1:$G$96","'Sheet1'!$A$1:$H$96"}</definedName>
    <definedName name="__x2" localSheetId="2" hidden="1">{"'Sheet1'!$A$1:$G$96","'Sheet1'!$A$1:$H$96"}</definedName>
    <definedName name="__x2" hidden="1">{"'Sheet1'!$A$1:$G$96","'Sheet1'!$A$1:$H$96"}</definedName>
    <definedName name="__xlfn.BAHTTEXT">#NAME?</definedName>
    <definedName name="__xlfn.SUMIFS" hidden="1">#NAME?</definedName>
    <definedName name="__z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1">{#N/A,#N/A,FALSE,"Распр Услуг без ген дир";#N/A,#N/A,FALSE,"распред без Ген дир";#N/A,#N/A,FALSE,"Бюджет МТК";#N/A,#N/A,FALSE,"Распр площадей";#N/A,#N/A,FALSE,"Распр СБ25";#N/A,#N/A,FALSE,"Распр ГХО24";#N/A,#N/A,FALSE,"Перс расхСБ";#N/A,#N/A,FALSE,"Перс расхГХО";#N/A,#N/A,FALSE,"Перс расх адм";#N/A,#N/A,FALSE,"распред";#N/A,#N/A,FALSE,"Распр Услуг";#N/A,#N/A,FALSE,"Распр Услуг с рук СБ"}</definedName>
    <definedName name="_1__123Graph_AChart_1A" localSheetId="2" hidden="1">#REF!</definedName>
    <definedName name="_1__123Graph_AChart_1A" hidden="1">#REF!</definedName>
    <definedName name="_1__123Graph_ACHART_4" localSheetId="2" hidden="1">#REF!</definedName>
    <definedName name="_1__123Graph_ACHART_4" hidden="1">#REF!</definedName>
    <definedName name="_10._Прочие_пассивы" localSheetId="2">#REF!</definedName>
    <definedName name="_10._Прочие_пассивы">#REF!</definedName>
    <definedName name="_10__123Graph_BCHART_1" hidden="1">#NAME?</definedName>
    <definedName name="_10__123Graph_XђҐ­в_ЎҐ_м­_бвм" hidden="1">#NAME?</definedName>
    <definedName name="_11._Акционерный_капитал" localSheetId="2">#REF!</definedName>
    <definedName name="_11._Акционерный_капитал">#REF!</definedName>
    <definedName name="_11__123Graph_BCHART_12" hidden="1">#NAME?</definedName>
    <definedName name="_11__123Graph_XЋЎ_а_з.__Єв._1" hidden="1">#NAME?</definedName>
    <definedName name="_12._Нераспределенная_прибыль_и_резервы" localSheetId="2">#REF!</definedName>
    <definedName name="_12._Нераспределенная_прибыль_и_резервы">#REF!</definedName>
    <definedName name="_12__123Graph_BCHART_13" hidden="1">#NAME?</definedName>
    <definedName name="_12__123Graph_XЋЎ_а_в­л__Є_ЇЁв" hidden="1">#NAME?</definedName>
    <definedName name="_123_123_" localSheetId="2" hidden="1">#REF!</definedName>
    <definedName name="_123_123_" hidden="1">#REF!</definedName>
    <definedName name="_123Graph_A" hidden="1">#REF!</definedName>
    <definedName name="_123Graph_ACh" localSheetId="2" hidden="1">#REF!</definedName>
    <definedName name="_123Graph_ACh" hidden="1">#REF!</definedName>
    <definedName name="_13._Прибыли_и_убытки_отчетного_года__сальдо" localSheetId="2">#REF!</definedName>
    <definedName name="_13._Прибыли_и_убытки_отчетного_года__сальдо">#REF!</definedName>
    <definedName name="_13__123Graph_BCHART_14" hidden="1">#NAME?</definedName>
    <definedName name="_14__123Graph_BCHART_2" hidden="1">#NAME?</definedName>
    <definedName name="_15__123Graph_CCHART_12" hidden="1">#NAME?</definedName>
    <definedName name="_16__123Graph_CCHART_13" hidden="1">#NAME?</definedName>
    <definedName name="_17" localSheetId="2" hidden="1">#REF!</definedName>
    <definedName name="_17">#REF!</definedName>
    <definedName name="_17__123Graph_CCHART_14" hidden="1">#NAME?</definedName>
    <definedName name="_18" localSheetId="2" hidden="1">#REF!</definedName>
    <definedName name="_18">#REF!</definedName>
    <definedName name="_18__123Graph_CCHART_2" hidden="1">#NAME?</definedName>
    <definedName name="_19__123Graph_DCHART_1" hidden="1">#NAME?</definedName>
    <definedName name="_1wrn.²Ä1­Ó¤ë1_Ü20¤H.">{#N/A,#N/A,FALSE,"²Ä1­Ó¤ë"}</definedName>
    <definedName name="_2" localSheetId="2" hidden="1">#REF!</definedName>
    <definedName name="_2" hidden="1">#REF!</definedName>
    <definedName name="_2__123Graph_ACHART_4" localSheetId="2" hidden="1">#REF!</definedName>
    <definedName name="_2__123Graph_ACHART_4" hidden="1">#REF!</definedName>
    <definedName name="_2__123Graph_AЋЎ_а_в­л__Є_ЇЁв" hidden="1">#NAME?</definedName>
    <definedName name="_2__123Graph_BChart_1A" localSheetId="2" hidden="1">#REF!</definedName>
    <definedName name="_2__123Graph_BChart_1A" hidden="1">#REF!</definedName>
    <definedName name="_2__123Graph_XCHART_3" hidden="1">#REF!</definedName>
    <definedName name="_20__123Graph_XCHART_1" hidden="1">#NAME?</definedName>
    <definedName name="_20Z_ðéóøíï_ïô_ìåì_11D5_A6F7_00508B6540C5_.wvu.Rows" hidden="1">#REF!</definedName>
    <definedName name="_21__123Graph_XCHART_12" hidden="1">#NAME?</definedName>
    <definedName name="_22__123Graph_XCHART_13" hidden="1">#NAME?</definedName>
    <definedName name="_23__123Graph_XCHART_14" hidden="1">#NAME?</definedName>
    <definedName name="_24__123Graph_XCHART_2" hidden="1">#NAME?</definedName>
    <definedName name="_25__123Graph_XCHART_3" hidden="1">#REF!</definedName>
    <definedName name="_26__123Graph_XCHART_4" hidden="1">#REF!</definedName>
    <definedName name="_3._Кредиты_клиентам" localSheetId="2">#REF!</definedName>
    <definedName name="_3._Кредиты_клиентам">#REF!</definedName>
    <definedName name="_3__123Graph_BChart_1A" localSheetId="2" hidden="1">#REF!</definedName>
    <definedName name="_3__123Graph_BChart_1A" hidden="1">#REF!</definedName>
    <definedName name="_3__123Graph_XCHART_4" hidden="1">#REF!</definedName>
    <definedName name="_4._Кредиты_банкам">#REF!</definedName>
    <definedName name="_4__123Graph_ACHART_1" hidden="1">#NAME?</definedName>
    <definedName name="_4__123Graph_BЋЎ_а_в­л__Є_ЇЁв" hidden="1">#NAME?</definedName>
    <definedName name="_4__123Graph_XCHART_3" hidden="1">#REF!</definedName>
    <definedName name="_4aaa" localSheetId="2" hidden="1">{#N/A,#N/A,FALSE,"Aging Summary";#N/A,#N/A,FALSE,"Ratio Analysis";#N/A,#N/A,FALSE,"Test 120 Day Accts";#N/A,#N/A,FALSE,"Tickmarks"}</definedName>
    <definedName name="_4aaa" hidden="1">{#N/A,#N/A,FALSE,"Aging Summary";#N/A,#N/A,FALSE,"Ratio Analysis";#N/A,#N/A,FALSE,"Test 120 Day Accts";#N/A,#N/A,FALSE,"Tickmarks"}</definedName>
    <definedName name="_5__123Graph_ACHART_12" hidden="1">#NAME?</definedName>
    <definedName name="_5__123Graph_XCHART_4" hidden="1">#REF!</definedName>
    <definedName name="_6._Основные_средства" localSheetId="2">#REF!</definedName>
    <definedName name="_6._Основные_средства">#REF!</definedName>
    <definedName name="_6__123Graph_ACHART_13" hidden="1">#NAME?</definedName>
    <definedName name="_6aaa" localSheetId="2" hidden="1">{#N/A,#N/A,FALSE,"Aging Summary";#N/A,#N/A,FALSE,"Ratio Analysis";#N/A,#N/A,FALSE,"Test 120 Day Accts";#N/A,#N/A,FALSE,"Tickmarks"}</definedName>
    <definedName name="_6aaa" hidden="1">{#N/A,#N/A,FALSE,"Aging Summary";#N/A,#N/A,FALSE,"Ratio Analysis";#N/A,#N/A,FALSE,"Test 120 Day Accts";#N/A,#N/A,FALSE,"Tickmarks"}</definedName>
    <definedName name="_7" localSheetId="2" hidden="1">#REF!</definedName>
    <definedName name="_7">#REF!</definedName>
    <definedName name="_7._Прочие_активы" localSheetId="2">#REF!</definedName>
    <definedName name="_7._Прочие_активы">#REF!</definedName>
    <definedName name="_7__123Graph_ACHART_14" hidden="1">#NAME?</definedName>
    <definedName name="_8._Средства__принадлежащие_вкладчикам" localSheetId="2">#REF!</definedName>
    <definedName name="_8._Средства__принадлежащие_вкладчикам">#REF!</definedName>
    <definedName name="_8__123Graph_ACHART_2" hidden="1">#NAME?</definedName>
    <definedName name="_8__123Graph_EЋЎ_а_в­л__Є_ЇЁв" hidden="1">#NAME?</definedName>
    <definedName name="_9._Депозиты_других_банков" localSheetId="2">#REF!</definedName>
    <definedName name="_9._Депозиты_других_банков">#REF!</definedName>
    <definedName name="_9__123Graph_ACHART_4" localSheetId="2" hidden="1">#REF!</definedName>
    <definedName name="_9__123Graph_ACHART_4" hidden="1">#REF!</definedName>
    <definedName name="_9aaa" localSheetId="2" hidden="1">{#N/A,#N/A,FALSE,"Aging Summary";#N/A,#N/A,FALSE,"Ratio Analysis";#N/A,#N/A,FALSE,"Test 120 Day Accts";#N/A,#N/A,FALSE,"Tickmarks"}</definedName>
    <definedName name="_9aaa" hidden="1">{#N/A,#N/A,FALSE,"Aging Summary";#N/A,#N/A,FALSE,"Ratio Analysis";#N/A,#N/A,FALSE,"Test 120 Day Accts";#N/A,#N/A,FALSE,"Tickmarks"}</definedName>
    <definedName name="_a1" localSheetId="2" hidden="1">{#N/A,#N/A,FALSE,"Закрытые кредиты"}</definedName>
    <definedName name="_a1" hidden="1">{#N/A,#N/A,FALSE,"Закрытые кредиты"}</definedName>
    <definedName name="_A11">{#N/A,#N/A,FALSE,"Umsatz 99";#N/A,#N/A,FALSE,"ER 99 "}</definedName>
    <definedName name="_a2" localSheetId="2" hidden="1">{"'Sheet1'!$A$1:$G$96","'Sheet1'!$A$1:$H$96"}</definedName>
    <definedName name="_a2" hidden="1">{"'Sheet1'!$A$1:$G$96","'Sheet1'!$A$1:$H$96"}</definedName>
    <definedName name="_a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a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a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a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a3" localSheetId="2" hidden="1">{#N/A,#N/A,FALSE,"Закрытые кредиты"}</definedName>
    <definedName name="_a3" hidden="1">{#N/A,#N/A,FALSE,"Закрытые кредиты"}</definedName>
    <definedName name="_a4" localSheetId="2" hidden="1">{#N/A,#N/A,FALSE,"Закрытые кредиты"}</definedName>
    <definedName name="_a4" hidden="1">{#N/A,#N/A,FALSE,"Закрытые кредиты"}</definedName>
    <definedName name="_a5" localSheetId="2" hidden="1">{#N/A,#N/A,FALSE,"Закрытые кредиты"}</definedName>
    <definedName name="_a5" hidden="1">{#N/A,#N/A,FALSE,"Закрытые кредиты"}</definedName>
    <definedName name="_A580" localSheetId="2" hidden="1">{"RES-2001",#N/A,FALSE,"BL2000";"A1-2001",#N/A,FALSE,"BL2000";"A2-2001",#N/A,FALSE,"BL2000"}</definedName>
    <definedName name="_A580" hidden="1">{"RES-2001",#N/A,FALSE,"BL2000";"A1-2001",#N/A,FALSE,"BL2000";"A2-2001",#N/A,FALSE,"BL2000"}</definedName>
    <definedName name="_a6" localSheetId="2" hidden="1">{#N/A,#N/A,FALSE,"Закрытые кредиты"}</definedName>
    <definedName name="_a6" hidden="1">{#N/A,#N/A,FALSE,"Закрытые кредиты"}</definedName>
    <definedName name="_a7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_a7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_a8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a8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a9" localSheetId="2" hidden="1">{#N/A,#N/A,TRUE,"Лист2"}</definedName>
    <definedName name="_a9" hidden="1">{#N/A,#N/A,TRUE,"Лист2"}</definedName>
    <definedName name="_aje2" hidden="1">5</definedName>
    <definedName name="_AMO_RefreshMultipleList" hidden="1">"'Partitions:5'"</definedName>
    <definedName name="_AMO_RefreshMultipleList.0" hidden="1">"'&lt;Items&gt;_x000D_
  &lt;Item Id=""217300566"" Checked=""True"" /&gt;_x000D_
  &lt;Item Id=""43577925"" Checked=""False"" /&gt;_x000D_
  &lt;Item Id=""627987489"" Checked=""False"" /&gt;_x000D_
  &lt;Item Id=""261148837"" Checked=""False"" /&gt;_x000D_
  &lt;Item Id=""525260506"" Checked=""False"" /&gt;_x000D_
  &lt;Item'"</definedName>
    <definedName name="_AMO_RefreshMultipleList.1" hidden="1">"' Id=""535244709"" Checked=""False"" /&gt;_x000D_
  &lt;Item Id=""820052772"" Checked=""False"" /&gt;_x000D_
  &lt;Item Id=""242064638"" Checked=""False"" /&gt;_x000D_
  &lt;Item Id=""252854763"" Checked=""False"" /&gt;_x000D_
  &lt;Item Id=""161463378"" Checked=""False"" /&gt;_x000D_
  &lt;Item Id=""4613256'"</definedName>
    <definedName name="_AMO_RefreshMultipleList.2" hidden="1">"'78"" Checked=""False"" /&gt;_x000D_
  &lt;Item Id=""566862701"" Checked=""False"" /&gt;_x000D_
  &lt;Item Id=""575740880"" Checked=""False"" /&gt;_x000D_
  &lt;Item Id=""493069414"" Checked=""False"" /&gt;_x000D_
  &lt;Item Id=""987052965"" Checked=""False"" /&gt;_x000D_
  &lt;Item Id=""988323709"" Checked='"</definedName>
    <definedName name="_AMO_RefreshMultipleList.3" hidden="1">"'""False"" /&gt;_x000D_
  &lt;Item Id=""112318002"" Checked=""False"" /&gt;_x000D_
  &lt;Item Id=""983836956"" Checked=""False"" /&gt;_x000D_
  &lt;Item Id=""219513760"" Checked=""False"" /&gt;_x000D_
  &lt;Item Id=""404774557"" Checked=""False"" /&gt;_x000D_
  &lt;Item Id=""376437791"" Checked=""False"" /&gt;_x000D_
'"</definedName>
    <definedName name="_AMO_RefreshMultipleList.4" hidden="1">"'  &lt;Item Id=""167644803"" Checked=""False"" /&gt;_x000D_
&lt;/Items&gt;'"</definedName>
    <definedName name="_AMO_UniqueIdentifier" hidden="1">"'f9c4aafc-d4e0-4ebb-a121-f8092c068560'"</definedName>
    <definedName name="_AMO_XLDS704663019" localSheetId="2" hidden="1">#REF!</definedName>
    <definedName name="_AMO_XLDS704663019" hidden="1">#REF!</definedName>
    <definedName name="_AMO_XmlVersion" hidden="1">"'1'"</definedName>
    <definedName name="_App2" localSheetId="2" hidden="1">{"IMRAK42x8x8",#N/A,TRUE,"IMRAK 1400 42U 800X800";"IMRAK32x6x6",#N/A,TRUE,"IMRAK 1400 32U 600x600";"IMRAK42x12x8",#N/A,TRUE,"IMRAK 1400 42U 1200x800";"IMRAK15x6x4",#N/A,TRUE,"IMRAK 400 15U FRONT SECTION"}</definedName>
    <definedName name="_App2" hidden="1">{"IMRAK42x8x8",#N/A,TRUE,"IMRAK 1400 42U 800X800";"IMRAK32x6x6",#N/A,TRUE,"IMRAK 1400 32U 600x600";"IMRAK42x12x8",#N/A,TRUE,"IMRAK 1400 42U 1200x800";"IMRAK15x6x4",#N/A,TRUE,"IMRAK 400 15U FRONT SECTION"}</definedName>
    <definedName name="_aws1" localSheetId="2" hidden="1">{"print95",#N/A,FALSE,"1995E.XLS";"print96",#N/A,FALSE,"1996E.XLS"}</definedName>
    <definedName name="_aws1">#REF!</definedName>
    <definedName name="_bdm.460678027ECF4B768D49C86A2E583735.edm" hidden="1">#NAME?</definedName>
    <definedName name="_bdm.B3132235A08747249FDD5FC42FA2AF2D.edm" hidden="1">#NAME?</definedName>
    <definedName name="_bdm.F6F705F3C52342C292508919F3792E63.edm" localSheetId="2" hidden="1">#REF!</definedName>
    <definedName name="_bdm.F6F705F3C52342C292508919F3792E63.edm" hidden="1">#REF!</definedName>
    <definedName name="_bjw1" localSheetId="2" hidden="1">{#N/A,#N/A,FALSE,"Profit Status";#N/A,#N/A,FALSE,"Invest";#N/A,#N/A,FALSE,"Revenue";#N/A,#N/A,FALSE,"Variable Cost";#N/A,#N/A,FALSE,"Options &amp; Series"}</definedName>
    <definedName name="_bjw1" hidden="1">{#N/A,#N/A,FALSE,"Profit Status";#N/A,#N/A,FALSE,"Invest";#N/A,#N/A,FALSE,"Revenue";#N/A,#N/A,FALSE,"Variable Cost";#N/A,#N/A,FALSE,"Options &amp; Series"}</definedName>
    <definedName name="_bjw3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Q4.1" hidden="1">#NAME?</definedName>
    <definedName name="_BQ4.2" hidden="1">#NAME?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BRN53" localSheetId="2">#REF!</definedName>
    <definedName name="_BRN53">#REF!</definedName>
    <definedName name="_BRN72" localSheetId="2">#REF!</definedName>
    <definedName name="_BRN72">#REF!</definedName>
    <definedName name="_c">{"Fiesta Facer Page",#N/A,FALSE,"Q_C_S";"Fiesta Main Page",#N/A,FALSE,"V_L";"Fiesta 95BP Struct",#N/A,FALSE,"StructBP";"Fiesta Post 95BP Struct",#N/A,FALSE,"AdjStructBP"}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>#REF!</definedName>
    <definedName name="_CodeNamedRange">#REF!</definedName>
    <definedName name="_cvb5" localSheetId="2" hidden="1">{"'Sheet1'!$A$1:$G$96","'Sheet1'!$A$1:$H$96"}</definedName>
    <definedName name="_cvb5" hidden="1">{"'Sheet1'!$A$1:$G$96","'Sheet1'!$A$1:$H$96"}</definedName>
    <definedName name="_cvb6" localSheetId="2" hidden="1">{"'Sheet1'!$A$1:$G$96","'Sheet1'!$A$1:$H$96"}</definedName>
    <definedName name="_cvb6" hidden="1">{"'Sheet1'!$A$1:$G$96","'Sheet1'!$A$1:$H$96"}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dd1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ddd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del76" localSheetId="2" hidden="1">{#N/A,#N/A,FALSE,"Summary";#N/A,#N/A,FALSE,"CF";#N/A,#N/A,FALSE,"P&amp;L";"summary",#N/A,FALSE,"Returns";#N/A,#N/A,FALSE,"BS";"summary",#N/A,FALSE,"Analysis";#N/A,#N/A,FALSE,"Assumptions"}</definedName>
    <definedName name="_del76" hidden="1">{#N/A,#N/A,FALSE,"Summary";#N/A,#N/A,FALSE,"CF";#N/A,#N/A,FALSE,"P&amp;L";"summary",#N/A,FALSE,"Returns";#N/A,#N/A,FALSE,"BS";"summary",#N/A,FALSE,"Analysis";#N/A,#N/A,FALSE,"Assumptions"}</definedName>
    <definedName name="_del8" localSheetId="2" hidden="1">{#N/A,#N/A,FALSE,"Summary";#N/A,#N/A,FALSE,"CF";#N/A,#N/A,FALSE,"P&amp;L";"summary",#N/A,FALSE,"Returns";#N/A,#N/A,FALSE,"BS";"summary",#N/A,FALSE,"Analysis";#N/A,#N/A,FALSE,"Assumptions"}</definedName>
    <definedName name="_del8" hidden="1">{#N/A,#N/A,FALSE,"Summary";#N/A,#N/A,FALSE,"CF";#N/A,#N/A,FALSE,"P&amp;L";"summary",#N/A,FALSE,"Returns";#N/A,#N/A,FALSE,"BS";"summary",#N/A,FALSE,"Analysis";#N/A,#N/A,FALSE,"Assumptions"}</definedName>
    <definedName name="_DescriptionNamedRange">#REF!</definedName>
    <definedName name="_Dist_Bin" localSheetId="2" hidden="1">#REF!</definedName>
    <definedName name="_Dist_Bin">#REF!</definedName>
    <definedName name="_Dist_Values" localSheetId="2" hidden="1">#REF!</definedName>
    <definedName name="_Dist_Values">#REF!</definedName>
    <definedName name="_er1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_er1">#REF!</definedName>
    <definedName name="_Fill" localSheetId="2" hidden="1">#REF!</definedName>
    <definedName name="_Fill">#REF!</definedName>
    <definedName name="_fill1" localSheetId="2" hidden="1">#REF!</definedName>
    <definedName name="_fill1" hidden="1">#REF!</definedName>
    <definedName name="_FilterDatabase" localSheetId="2" hidden="1">#REF!</definedName>
    <definedName name="_FilterDatabase" hidden="1">#REF!</definedName>
    <definedName name="_FilterDatabase1" localSheetId="2" hidden="1">#REF!</definedName>
    <definedName name="_FilterDatabase1" hidden="1">#REF!</definedName>
    <definedName name="_FINIX_CommitToBP_ID" comment="Слой, в который нужно загрузить (хард) данный пакет" hidden="1">10101</definedName>
    <definedName name="_FINIX_nDataModelId" comment="27 - MacroVision" hidden="1">27</definedName>
    <definedName name="_FINIX_nPackageId" hidden="1">15161</definedName>
    <definedName name="_FINIX_nPackageLoaderVersion" comment="Версия данного загрузчика моделей в FINIX" hidden="1">18</definedName>
    <definedName name="_FINIX_uPackageUid" hidden="1">"{24EFD42D-DA34-4D04-A005-1A0F429CB132}"</definedName>
    <definedName name="_jny1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jny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Key1" localSheetId="2" hidden="1">#REF!</definedName>
    <definedName name="_Key1">#REF!</definedName>
    <definedName name="_Key2" hidden="1">#NAME?</definedName>
    <definedName name="_ll" localSheetId="2" hidden="1">#REF!</definedName>
    <definedName name="_ll" hidden="1">#REF!</definedName>
    <definedName name="_mes10" localSheetId="2">#REF!</definedName>
    <definedName name="_mes10">#REF!</definedName>
    <definedName name="_mes11" localSheetId="2">#REF!</definedName>
    <definedName name="_mes11">#REF!</definedName>
    <definedName name="_mes12">#REF!</definedName>
    <definedName name="_mes2">#REF!</definedName>
    <definedName name="_mes3">#REF!</definedName>
    <definedName name="_mes4">#REF!</definedName>
    <definedName name="_mes5">#REF!</definedName>
    <definedName name="_mes6">#REF!</definedName>
    <definedName name="_mes7">#REF!</definedName>
    <definedName name="_mes8">#REF!</definedName>
    <definedName name="_mes9">#REF!</definedName>
    <definedName name="_Mn2" localSheetId="2" hidden="1">{#N/A,#N/A,FALSE,"т02бд"}</definedName>
    <definedName name="_Mn2" hidden="1">{#N/A,#N/A,FALSE,"т02бд"}</definedName>
    <definedName name="_n1" localSheetId="2" hidden="1">{"mgmt forecast",#N/A,FALSE,"Mgmt Forecast";"dcf table",#N/A,FALSE,"Mgmt Forecast";"sensitivity",#N/A,FALSE,"Mgmt Forecast";"table inputs",#N/A,FALSE,"Mgmt Forecast";"calculations",#N/A,FALSE,"Mgmt Forecast"}</definedName>
    <definedName name="_n1" hidden="1">{"mgmt forecast",#N/A,FALSE,"Mgmt Forecast";"dcf table",#N/A,FALSE,"Mgmt Forecast";"sensitivity",#N/A,FALSE,"Mgmt Forecast";"table inputs",#N/A,FALSE,"Mgmt Forecast";"calculations",#N/A,FALSE,"Mgmt Forecast"}</definedName>
    <definedName name="_nm7" localSheetId="2" hidden="1">{"'Sheet1'!$A$1:$G$96","'Sheet1'!$A$1:$H$96"}</definedName>
    <definedName name="_nm7" hidden="1">{"'Sheet1'!$A$1:$G$96","'Sheet1'!$A$1:$H$96"}</definedName>
    <definedName name="_nm8" localSheetId="2" hidden="1">{"'Sheet1'!$A$1:$G$96","'Sheet1'!$A$1:$H$96"}</definedName>
    <definedName name="_nm8" hidden="1">{"'Sheet1'!$A$1:$G$96","'Sheet1'!$A$1:$H$96"}</definedName>
    <definedName name="_o1" localSheetId="2" hidden="1">{"det (May)",#N/A,FALSE,"June";"sum (MAY YTD)",#N/A,FALSE,"June YTD"}</definedName>
    <definedName name="_o1">#REF!</definedName>
    <definedName name="_old2" localSheetId="2" hidden="1">{"'Sheet1'!$A$1:$X$25"}</definedName>
    <definedName name="_old2" hidden="1">{"'Sheet1'!$A$1:$X$25"}</definedName>
    <definedName name="_Order1">255</definedName>
    <definedName name="_Order2" hidden="1">255</definedName>
    <definedName name="_ot97" hidden="1">#REF!</definedName>
    <definedName name="_Parse_In" hidden="1">#REF!</definedName>
    <definedName name="_Parse_Out" hidden="1">#NAME?</definedName>
    <definedName name="_pau1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pau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_pau3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pau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pau5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pau5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q1" localSheetId="2" hidden="1">{"'Sheet1'!$A$1:$G$96","'Sheet1'!$A$1:$H$96"}</definedName>
    <definedName name="_q1" hidden="1">{"'Sheet1'!$A$1:$G$96","'Sheet1'!$A$1:$H$96"}</definedName>
    <definedName name="_q2" localSheetId="2" hidden="1">{"'Sheet1'!$A$1:$G$96","'Sheet1'!$A$1:$H$96"}</definedName>
    <definedName name="_q2" hidden="1">{"'Sheet1'!$A$1:$G$96","'Sheet1'!$A$1:$H$96"}</definedName>
    <definedName name="_q3" localSheetId="2" hidden="1">{"'Sheet1'!$A$1:$G$96","'Sheet1'!$A$1:$H$96"}</definedName>
    <definedName name="_q3" hidden="1">{"'Sheet1'!$A$1:$G$96","'Sheet1'!$A$1:$H$96"}</definedName>
    <definedName name="_q4" localSheetId="2" hidden="1">{"'Sheet1'!$A$1:$G$96","'Sheet1'!$A$1:$H$96"}</definedName>
    <definedName name="_q4" hidden="1">{"'Sheet1'!$A$1:$G$96","'Sheet1'!$A$1:$H$96"}</definedName>
    <definedName name="_q5" localSheetId="2" hidden="1">{"'Sheet1'!$A$1:$G$96","'Sheet1'!$A$1:$H$96"}</definedName>
    <definedName name="_q5" hidden="1">{"'Sheet1'!$A$1:$G$96","'Sheet1'!$A$1:$H$96"}</definedName>
    <definedName name="_q6" localSheetId="2" hidden="1">{"'Sheet1'!$A$1:$G$96","'Sheet1'!$A$1:$H$96"}</definedName>
    <definedName name="_q6" hidden="1">{"'Sheet1'!$A$1:$G$96","'Sheet1'!$A$1:$H$96"}</definedName>
    <definedName name="_q8" localSheetId="2" hidden="1">{"'Sheet1'!$A$1:$G$96","'Sheet1'!$A$1:$H$96"}</definedName>
    <definedName name="_q8" hidden="1">{"'Sheet1'!$A$1:$G$96","'Sheet1'!$A$1:$H$96"}</definedName>
    <definedName name="_q9" localSheetId="2" hidden="1">{"'Sheet1'!$A$1:$G$96","'Sheet1'!$A$1:$H$96"}</definedName>
    <definedName name="_q9" hidden="1">{"'Sheet1'!$A$1:$G$96","'Sheet1'!$A$1:$H$96"}</definedName>
    <definedName name="_qq1" localSheetId="2" hidden="1">{0,0,0,0;0,0,0,0;0,0,0,0;0,0,0,0;0,0,0,0;0,0,FALSE,0;0,#N/A,FALSE,0;0,#N/A,FALSE,0}</definedName>
    <definedName name="_qq1" hidden="1">{0,0,0,0;0,0,0,0;0,0,0,0;0,0,0,0;0,0,0,0;0,0,FALSE,0;0,#N/A,FALSE,0;0,#N/A,FALSE,0}</definedName>
    <definedName name="_Qwe2">#REF!</definedName>
    <definedName name="_Qwe4">#REF!</definedName>
    <definedName name="_Qwe5">#REF!</definedName>
    <definedName name="_Qwe6">#REF!</definedName>
    <definedName name="_Qwe7">#REF!</definedName>
    <definedName name="_Qwe8">#REF!</definedName>
    <definedName name="_Regression_Int" hidden="1">1</definedName>
    <definedName name="_Regression_Out" localSheetId="2" hidden="1">#REF!</definedName>
    <definedName name="_Regression_Out" hidden="1">#REF!</definedName>
    <definedName name="_Regression_X" localSheetId="2" hidden="1">#REF!</definedName>
    <definedName name="_Regression_X" hidden="1">#REF!</definedName>
    <definedName name="_Regression_Y" hidden="1">#REF!</definedName>
    <definedName name="_ret5" localSheetId="2" hidden="1">{0,0}</definedName>
    <definedName name="_ret5" hidden="1">{0,0}</definedName>
    <definedName name="_sdf2" localSheetId="2" hidden="1">{"'Sheet1'!$A$1:$G$96","'Sheet1'!$A$1:$H$96"}</definedName>
    <definedName name="_sdf2" hidden="1">{"'Sheet1'!$A$1:$G$96","'Sheet1'!$A$1:$H$96"}</definedName>
    <definedName name="_Sort" localSheetId="2" hidden="1">#REF!</definedName>
    <definedName name="_Sort">#REF!</definedName>
    <definedName name="_Sort1" localSheetId="2" hidden="1">#REF!</definedName>
    <definedName name="_Sort1">#REF!</definedName>
    <definedName name="_spk1" localSheetId="2" hidden="1">{#N/A,#N/A,FALSE,"Cover";#N/A,#N/A,FALSE,"Profits";#N/A,#N/A,FALSE,"ABS";#N/A,#N/A,FALSE,"TFLE Detail";#N/A,#N/A,FALSE,"TFLE Walk";#N/A,#N/A,FALSE,"Variable Cost";#N/A,#N/A,FALSE,"V.C. Walk"}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localSheetId="2" hidden="1">{#N/A,#N/A,FALSE,"Profit Status";#N/A,#N/A,FALSE,"Invest";#N/A,#N/A,FALSE,"Revenue";#N/A,#N/A,FALSE,"Variable Cost";#N/A,#N/A,FALSE,"Options &amp; Series"}</definedName>
    <definedName name="_spk2" hidden="1">{#N/A,#N/A,FALSE,"Profit Status";#N/A,#N/A,FALSE,"Invest";#N/A,#N/A,FALSE,"Revenue";#N/A,#N/A,FALSE,"Variable Cost";#N/A,#N/A,FALSE,"Options &amp; Series"}</definedName>
    <definedName name="_spk3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04" localSheetId="2" hidden="1">{#N/A,#N/A,FALSE,"т04"}</definedName>
    <definedName name="_t04" hidden="1">{#N/A,#N/A,FALSE,"т04"}</definedName>
    <definedName name="_t06" localSheetId="2" hidden="1">{#N/A,#N/A,FALSE,"т04"}</definedName>
    <definedName name="_t06" hidden="1">{#N/A,#N/A,FALSE,"т04"}</definedName>
    <definedName name="_table1" hidden="1">#REF!</definedName>
    <definedName name="_Table1_In1" localSheetId="2" hidden="1">#REF!</definedName>
    <definedName name="_Table1_In1">#REF!</definedName>
    <definedName name="_Table1_Out" localSheetId="2" hidden="1">#REF!</definedName>
    <definedName name="_Table1_Out">#REF!</definedName>
    <definedName name="_Table2_In1">#REF!</definedName>
    <definedName name="_Table2_In2">#REF!</definedName>
    <definedName name="_Table2_Out">#REF!</definedName>
    <definedName name="_Table3_In2">#REF!</definedName>
    <definedName name="_tt1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V1" localSheetId="2" hidden="1">{"IAS Mapping",#N/A,TRUE,"RSA_FS"}</definedName>
    <definedName name="_TV1" hidden="1">{"IAS Mapping",#N/A,TRUE,"RSA_FS"}</definedName>
    <definedName name="_u1" localSheetId="2" hidden="1">{"Страница 1",#N/A,FALSE,"Модель Интенсивника";"Страница 2",#N/A,FALSE,"Модель Интенсивника";"Страница 3",#N/A,FALSE,"Модель Интенсивника"}</definedName>
    <definedName name="_u1" hidden="1">{"Страница 1",#N/A,FALSE,"Модель Интенсивника";"Страница 2",#N/A,FALSE,"Модель Интенсивника";"Страница 3",#N/A,FALSE,"Модель Интенсивника"}</definedName>
    <definedName name="_u2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3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3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4" localSheetId="2" hidden="1">{#N/A,#N/A,FALSE,"Титул_ОСН";#N/A,#N/A,FALSE,"Итоги";#N/A,#N/A,FALSE,"Источники";#N/A,#N/A,FALSE,"ПрочПродажи";#N/A,#N/A,FALSE,"ЗП";#N/A,#N/A,FALSE,"Налоги";#N/A,#N/A,FALSE,"Энерго";#N/A,#N/A,FALSE,"Сырьё";#N/A,#N/A,FALSE,"Снабжение";#N/A,#N/A,FALSE,"Оборудование";#N/A,#N/A,FALSE,"Транспорт";#N/A,#N/A,FALSE,"Коммерция";#N/A,#N/A,FALSE,"ТЕК_РЕМ";#N/A,#N/A,FALSE,"КАП_РЕМ";#N/A,#N/A,FALSE,"КАП_СТР";#N/A,#N/A,FALSE,"НИОКР";#N/A,#N/A,FALSE,"Кадры";#N/A,#N/A,FALSE,"СОЦ";#N/A,#N/A,FALSE,"НепромПр";#N/A,#N/A,FALSE,"ФИНАНСЫ";#N/A,#N/A,FALSE,"Прочие";#N/A,#N/A,FALSE,"Гаш_кредит";#N/A,#N/A,FALSE,"ФП"}</definedName>
    <definedName name="_u4" hidden="1">{#N/A,#N/A,FALSE,"Титул_ОСН";#N/A,#N/A,FALSE,"Итоги";#N/A,#N/A,FALSE,"Источники";#N/A,#N/A,FALSE,"ПрочПродажи";#N/A,#N/A,FALSE,"ЗП";#N/A,#N/A,FALSE,"Налоги";#N/A,#N/A,FALSE,"Энерго";#N/A,#N/A,FALSE,"Сырьё";#N/A,#N/A,FALSE,"Снабжение";#N/A,#N/A,FALSE,"Оборудование";#N/A,#N/A,FALSE,"Транспорт";#N/A,#N/A,FALSE,"Коммерция";#N/A,#N/A,FALSE,"ТЕК_РЕМ";#N/A,#N/A,FALSE,"КАП_РЕМ";#N/A,#N/A,FALSE,"КАП_СТР";#N/A,#N/A,FALSE,"НИОКР";#N/A,#N/A,FALSE,"Кадры";#N/A,#N/A,FALSE,"СОЦ";#N/A,#N/A,FALSE,"НепромПр";#N/A,#N/A,FALSE,"ФИНАНСЫ";#N/A,#N/A,FALSE,"Прочие";#N/A,#N/A,FALSE,"Гаш_кредит";#N/A,#N/A,FALSE,"ФП"}</definedName>
    <definedName name="_u5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5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6" localSheetId="2" hidden="1">{"Страница 1",#N/A,FALSE,"Модель Интенсивника";"Страница 3",#N/A,FALSE,"Модель Интенсивника"}</definedName>
    <definedName name="_u6" hidden="1">{"Страница 1",#N/A,FALSE,"Модель Интенсивника";"Страница 3",#N/A,FALSE,"Модель Интенсивника"}</definedName>
    <definedName name="_u7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7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8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8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9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9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_ug3" localSheetId="2" hidden="1">{"print95",#N/A,FALSE,"1995E.XLS";"print96",#N/A,FALSE,"1996E.XLS"}</definedName>
    <definedName name="_ug3" hidden="1">{"print95",#N/A,FALSE,"1995E.XLS";"print96",#N/A,FALSE,"1996E.XLS"}</definedName>
    <definedName name="_vv" hidden="1">#REF!</definedName>
    <definedName name="_w2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w2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wes940" localSheetId="2">#REF!</definedName>
    <definedName name="_wes940">#REF!</definedName>
    <definedName name="_wr2" localSheetId="2" hidden="1">{#N/A,#N/A,FALSE,"Finanzplan";#N/A,#N/A,FALSE,"Bilanz";#N/A,#N/A,FALSE,"GuV"}</definedName>
    <definedName name="_wr2" hidden="1">{#N/A,#N/A,FALSE,"Finanzplan";#N/A,#N/A,FALSE,"Bilanz";#N/A,#N/A,FALSE,"GuV"}</definedName>
    <definedName name="_wr3" localSheetId="2" hidden="1">{"vi1",#N/A,FALSE,"Financial Statements";"vi2",#N/A,FALSE,"Financial Statements";#N/A,#N/A,FALSE,"DCF"}</definedName>
    <definedName name="_wr3" hidden="1">{"vi1",#N/A,FALSE,"Financial Statements";"vi2",#N/A,FALSE,"Financial Statements";#N/A,#N/A,FALSE,"DCF"}</definedName>
    <definedName name="_wr4" localSheetId="2" hidden="1">{#N/A,#N/A,TRUE,"Sheet16"}</definedName>
    <definedName name="_wr4" hidden="1">{#N/A,#N/A,TRUE,"Sheet16"}</definedName>
    <definedName name="_wr5" localSheetId="2" hidden="1">{#N/A,#N/A,FALSE,"Summary";#N/A,#N/A,FALSE,"CF";#N/A,#N/A,FALSE,"P&amp;L";"summary",#N/A,FALSE,"Returns";#N/A,#N/A,FALSE,"BS";"summary",#N/A,FALSE,"Analysis";#N/A,#N/A,FALSE,"Assumptions"}</definedName>
    <definedName name="_wr5" hidden="1">{#N/A,#N/A,FALSE,"Summary";#N/A,#N/A,FALSE,"CF";#N/A,#N/A,FALSE,"P&amp;L";"summary",#N/A,FALSE,"Returns";#N/A,#N/A,FALSE,"BS";"summary",#N/A,FALSE,"Analysis";#N/A,#N/A,FALSE,"Assumptions"}</definedName>
    <definedName name="_wr72" localSheetId="2" hidden="1">{#N/A,#N/A,TRUE,"Sheet16"}</definedName>
    <definedName name="_wr72" hidden="1">{#N/A,#N/A,TRUE,"Sheet16"}</definedName>
    <definedName name="_wrn2" localSheetId="2" hidden="1">{"glc1",#N/A,FALSE,"GLC";"glc2",#N/A,FALSE,"GLC";"glc3",#N/A,FALSE,"GLC";"glc4",#N/A,FALSE,"GLC";"glc5",#N/A,FALSE,"GLC"}</definedName>
    <definedName name="_wrn2" hidden="1">{"glc1",#N/A,FALSE,"GLC";"glc2",#N/A,FALSE,"GLC";"glc3",#N/A,FALSE,"GLC";"glc4",#N/A,FALSE,"GLC";"glc5",#N/A,FALSE,"GLC"}</definedName>
    <definedName name="_wrn222" localSheetId="2" hidden="1">{"glc1",#N/A,FALSE,"GLC";"glc2",#N/A,FALSE,"GLC";"glc3",#N/A,FALSE,"GLC";"glc4",#N/A,FALSE,"GLC";"glc5",#N/A,FALSE,"GLC"}</definedName>
    <definedName name="_wrn222" hidden="1">{"glc1",#N/A,FALSE,"GLC";"glc2",#N/A,FALSE,"GLC";"glc3",#N/A,FALSE,"GLC";"glc4",#N/A,FALSE,"GLC";"glc5",#N/A,FALSE,"GLC"}</definedName>
    <definedName name="_x1" localSheetId="2" hidden="1">{"'Sheet1'!$A$1:$G$96","'Sheet1'!$A$1:$H$96"}</definedName>
    <definedName name="_x1" hidden="1">{"'Sheet1'!$A$1:$G$96","'Sheet1'!$A$1:$H$96"}</definedName>
    <definedName name="_x2" localSheetId="2" hidden="1">{"'Sheet1'!$A$1:$G$96","'Sheet1'!$A$1:$H$96"}</definedName>
    <definedName name="_x2" hidden="1">{"'Sheet1'!$A$1:$G$96","'Sheet1'!$A$1:$H$96"}</definedName>
    <definedName name="_xlcn.Связаннаятаблица_Таблица1" localSheetId="2" hidden="1">#REF!</definedName>
    <definedName name="_xlcn.Связаннаятаблица_Таблица1" hidden="1">#REF!</definedName>
    <definedName name="_xlcn.Связаннаятаблица_Таблица2" localSheetId="2" hidden="1">#REF!</definedName>
    <definedName name="_xlcn.Связаннаятаблица_Таблица2" hidden="1">#REF!</definedName>
    <definedName name="_xlcn.Связаннаятаблица_Таблица4" localSheetId="2" hidden="1">#REF!</definedName>
    <definedName name="_xlcn.Связаннаятаблица_Таблица4" hidden="1">#REF!</definedName>
    <definedName name="_xlcn.Связаннаятаблица_Таблица61" hidden="1">#REF!</definedName>
    <definedName name="_Y1" localSheetId="2" hidden="1">{#N/A,#N/A,TRUE,"Cover sheet";#N/A,#N/A,TRUE,"INPUTS";#N/A,#N/A,TRUE,"OUTPUTS";#N/A,#N/A,TRUE,"VALUATION"}</definedName>
    <definedName name="_Y1" hidden="1">{#N/A,#N/A,TRUE,"Cover sheet";#N/A,#N/A,TRUE,"INPUTS";#N/A,#N/A,TRUE,"OUTPUTS";#N/A,#N/A,TRUE,"VALUATION"}</definedName>
    <definedName name="_z">{"'CVB-Zinssatz Akt'!$A$2:$M$10","'CVB Ist'!$C$35:$O$37"}</definedName>
    <definedName name="_z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1_2" localSheetId="2" hidden="1">{#VALUE!,#N/A,FALSE,0;#N/A,#N/A,FALSE,0;#N/A,#N/A,FALSE,0;#N/A,#N/A,FALSE,0;#N/A,#N/A,FALSE,0;#N/A,#N/A,FALSE,0;#N/A,#N/A,FALSE,0;#N/A,#N/A,FALSE,0;#N/A,#N/A,FALSE,0;#N/A,#N/A,FALSE,0}</definedName>
    <definedName name="_z1_2" hidden="1">{#VALUE!,#N/A,FALSE,0;#N/A,#N/A,FALSE,0;#N/A,#N/A,FALSE,0;#N/A,#N/A,FALSE,0;#N/A,#N/A,FALSE,0;#N/A,#N/A,FALSE,0;#N/A,#N/A,FALSE,0;#N/A,#N/A,FALSE,0;#N/A,#N/A,FALSE,0;#N/A,#N/A,FALSE,0}</definedName>
    <definedName name="_z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_2" localSheetId="2" hidden="1">{#VALUE!,#N/A,FALSE,0;#N/A,#N/A,FALSE,0;#N/A,#N/A,FALSE,0;#N/A,#N/A,FALSE,0;#N/A,#N/A,FALSE,0;#N/A,#N/A,FALSE,0;#N/A,#N/A,FALSE,0;#N/A,#N/A,FALSE,0;#N/A,#N/A,FALSE,0;#N/A,#N/A,FALSE,0}</definedName>
    <definedName name="_z2_2" hidden="1">{#VALUE!,#N/A,FALSE,0;#N/A,#N/A,FALSE,0;#N/A,#N/A,FALSE,0;#N/A,#N/A,FALSE,0;#N/A,#N/A,FALSE,0;#N/A,#N/A,FALSE,0;#N/A,#N/A,FALSE,0;#N/A,#N/A,FALSE,0;#N/A,#N/A,FALSE,0;#N/A,#N/A,FALSE,0}</definedName>
    <definedName name="_z3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_2" localSheetId="2" hidden="1">{#VALUE!,#N/A,FALSE,0;#N/A,#N/A,FALSE,0;#N/A,#N/A,FALSE,0;#N/A,#N/A,FALSE,0;#N/A,#N/A,FALSE,0;#N/A,#N/A,FALSE,0;#N/A,#N/A,FALSE,0;#N/A,#N/A,FALSE,0;#N/A,#N/A,FALSE,0;#N/A,#N/A,FALSE,0}</definedName>
    <definedName name="_z3_2" hidden="1">{#VALUE!,#N/A,FALSE,0;#N/A,#N/A,FALSE,0;#N/A,#N/A,FALSE,0;#N/A,#N/A,FALSE,0;#N/A,#N/A,FALSE,0;#N/A,#N/A,FALSE,0;#N/A,#N/A,FALSE,0;#N/A,#N/A,FALSE,0;#N/A,#N/A,FALSE,0;#N/A,#N/A,FALSE,0}</definedName>
    <definedName name="_z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_2" localSheetId="2" hidden="1">{#VALUE!,#N/A,FALSE,0;#N/A,#N/A,FALSE,0;#N/A,#N/A,FALSE,0;#N/A,#N/A,FALSE,0;#N/A,#N/A,FALSE,0;#N/A,#N/A,FALSE,0;#N/A,#N/A,FALSE,0;#N/A,#N/A,FALSE,0;#N/A,#N/A,FALSE,0;#N/A,#N/A,FALSE,0}</definedName>
    <definedName name="_z4_2" hidden="1">{#VALUE!,#N/A,FALSE,0;#N/A,#N/A,FALSE,0;#N/A,#N/A,FALSE,0;#N/A,#N/A,FALSE,0;#N/A,#N/A,FALSE,0;#N/A,#N/A,FALSE,0;#N/A,#N/A,FALSE,0;#N/A,#N/A,FALSE,0;#N/A,#N/A,FALSE,0;#N/A,#N/A,FALSE,0}</definedName>
    <definedName name="_z5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_2" localSheetId="2" hidden="1">{#VALUE!,#N/A,FALSE,0;#N/A,#N/A,FALSE,0;#N/A,#N/A,FALSE,0;#N/A,#N/A,FALSE,0;#N/A,#N/A,FALSE,0;#N/A,#N/A,FALSE,0;#N/A,#N/A,FALSE,0;#N/A,#N/A,FALSE,0;#N/A,#N/A,FALSE,0;#N/A,#N/A,FALSE,0}</definedName>
    <definedName name="_z5_2" hidden="1">{#VALUE!,#N/A,FALSE,0;#N/A,#N/A,FALSE,0;#N/A,#N/A,FALSE,0;#N/A,#N/A,FALSE,0;#N/A,#N/A,FALSE,0;#N/A,#N/A,FALSE,0;#N/A,#N/A,FALSE,0;#N/A,#N/A,FALSE,0;#N/A,#N/A,FALSE,0;#N/A,#N/A,FALSE,0}</definedName>
    <definedName name="_В" hidden="1">#REF!</definedName>
    <definedName name="_выап">#REF!</definedName>
    <definedName name="_Да">#NAME?</definedName>
    <definedName name="_классификация" localSheetId="2">#REF!</definedName>
    <definedName name="_классификация">#REF!</definedName>
    <definedName name="_направление" localSheetId="2">#REF!</definedName>
    <definedName name="_направление">#REF!</definedName>
    <definedName name="_Ф" localSheetId="2" hidden="1">#REF!</definedName>
    <definedName name="_Ф" hidden="1">#REF!</definedName>
    <definedName name="_xlnm._FilterDatabase" localSheetId="2" hidden="1">'Численность директ_2905'!$B$5:$BI$5</definedName>
    <definedName name="_xlnm._FilterDatabase">#REF!</definedName>
    <definedName name="A">#REF!</definedName>
    <definedName name="á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á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A_1_1_R" localSheetId="2">#REF!</definedName>
    <definedName name="A_1_1_R">#REF!</definedName>
    <definedName name="A_1_1_S" localSheetId="2">#REF!</definedName>
    <definedName name="A_1_1_S">#REF!</definedName>
    <definedName name="A_1_1_V" localSheetId="2">#REF!</definedName>
    <definedName name="A_1_1_V">#REF!</definedName>
    <definedName name="A_1_R">#REF!</definedName>
    <definedName name="A_1_S">#REF!</definedName>
    <definedName name="A_1_V">#REF!</definedName>
    <definedName name="A_10_R">#REF!</definedName>
    <definedName name="A_10_S">#REF!</definedName>
    <definedName name="A_10_V">#REF!</definedName>
    <definedName name="A_11_R">#REF!</definedName>
    <definedName name="A_11_S">#REF!</definedName>
    <definedName name="A_11_V">#REF!</definedName>
    <definedName name="A_12_R">#REF!</definedName>
    <definedName name="A_12_S">#REF!</definedName>
    <definedName name="A_12_V">#REF!</definedName>
    <definedName name="A_13_1_R">#REF!</definedName>
    <definedName name="A_13_1_S">#REF!</definedName>
    <definedName name="A_13_1_V">#REF!</definedName>
    <definedName name="A_13_R">#REF!</definedName>
    <definedName name="A_13_S">#REF!</definedName>
    <definedName name="A_13_V">#REF!</definedName>
    <definedName name="A_14_R">#REF!</definedName>
    <definedName name="A_14_S">#REF!</definedName>
    <definedName name="A_14_V">#REF!</definedName>
    <definedName name="A_15_R">#REF!</definedName>
    <definedName name="A_15_S">#REF!</definedName>
    <definedName name="A_15_V">#REF!</definedName>
    <definedName name="A_2_R">#REF!</definedName>
    <definedName name="A_2_S">#REF!</definedName>
    <definedName name="A_2_V">#REF!</definedName>
    <definedName name="A_3_R">#REF!</definedName>
    <definedName name="A_3_S">#REF!</definedName>
    <definedName name="A_3_V">#REF!</definedName>
    <definedName name="A_4_R">#REF!</definedName>
    <definedName name="A_4_S">#REF!</definedName>
    <definedName name="A_4_V">#REF!</definedName>
    <definedName name="A_5_1_1_R">#REF!</definedName>
    <definedName name="A_5_1_1_S">#REF!</definedName>
    <definedName name="A_5_1_1_V">#REF!</definedName>
    <definedName name="A_5_1_2_R">#REF!</definedName>
    <definedName name="A_5_1_2_S">#REF!</definedName>
    <definedName name="A_5_1_2_V">#REF!</definedName>
    <definedName name="A_5_1_3_R">#REF!</definedName>
    <definedName name="A_5_1_3_S">#REF!</definedName>
    <definedName name="A_5_1_3_V">#REF!</definedName>
    <definedName name="A_5_1_4_R">#REF!</definedName>
    <definedName name="A_5_1_4_S">#REF!</definedName>
    <definedName name="A_5_1_4_V">#REF!</definedName>
    <definedName name="A_5_1_5_R">#REF!</definedName>
    <definedName name="A_5_1_5_S">#REF!</definedName>
    <definedName name="A_5_1_5_V">#REF!</definedName>
    <definedName name="A_5_1_R">#REF!</definedName>
    <definedName name="A_5_1_S">#REF!</definedName>
    <definedName name="A_5_1_V">#REF!</definedName>
    <definedName name="A_5_2_R">#REF!</definedName>
    <definedName name="A_5_2_S">#REF!</definedName>
    <definedName name="A_5_2_V">#REF!</definedName>
    <definedName name="A_5_3_1_R">#REF!</definedName>
    <definedName name="A_5_3_1_S">#REF!</definedName>
    <definedName name="A_5_3_1_V">#REF!</definedName>
    <definedName name="A_5_3_R">#REF!</definedName>
    <definedName name="A_5_3_S">#REF!</definedName>
    <definedName name="A_5_3_V">#REF!</definedName>
    <definedName name="A_5_4_R">#REF!</definedName>
    <definedName name="A_5_4_S">#REF!</definedName>
    <definedName name="A_5_4_V">#REF!</definedName>
    <definedName name="A_5_R">#REF!</definedName>
    <definedName name="A_5_S">#REF!</definedName>
    <definedName name="A_5_V">#REF!</definedName>
    <definedName name="A_6_R">#REF!</definedName>
    <definedName name="A_6_S">#REF!</definedName>
    <definedName name="A_6_V">#REF!</definedName>
    <definedName name="A_7_R">#REF!</definedName>
    <definedName name="A_7_S">#REF!</definedName>
    <definedName name="A_7_V">#REF!</definedName>
    <definedName name="A_8_R">#REF!</definedName>
    <definedName name="A_8_S">#REF!</definedName>
    <definedName name="A_8_V">#REF!</definedName>
    <definedName name="A_9_R">#REF!</definedName>
    <definedName name="A_9_S">#REF!</definedName>
    <definedName name="A_9_V">#REF!</definedName>
    <definedName name="A_COL_NUM_HAND">#REF!</definedName>
    <definedName name="A_I_R">#REF!</definedName>
    <definedName name="A_I_S">#REF!</definedName>
    <definedName name="A_I_V">#REF!</definedName>
    <definedName name="A_II_R">#REF!</definedName>
    <definedName name="A_II_S">#REF!</definedName>
    <definedName name="A_II_V">#REF!</definedName>
    <definedName name="A_ITOG_R">#REF!</definedName>
    <definedName name="A_ITOG_S">#REF!</definedName>
    <definedName name="A_ITOG_V">#REF!</definedName>
    <definedName name="aa">#REF!</definedName>
    <definedName name="aaa" localSheetId="2" hidden="1">{"Valuation_Common",#N/A,FALSE,"Valuation"}</definedName>
    <definedName name="aaa">#REF!</definedName>
    <definedName name="AAA_DOCTOPS" hidden="1">"AAA_SET"</definedName>
    <definedName name="AAA_duser" hidden="1">"OFF"</definedName>
    <definedName name="aaa0" localSheetId="2" hidden="1">{#N/A,#N/A,FALSE,"Aging Summary";#N/A,#N/A,FALSE,"Ratio Analysis";#N/A,#N/A,FALSE,"Test 120 Day Accts";#N/A,#N/A,FALSE,"Tickmarks"}</definedName>
    <definedName name="aaa0" hidden="1">{#N/A,#N/A,FALSE,"Aging Summary";#N/A,#N/A,FALSE,"Ratio Analysis";#N/A,#N/A,FALSE,"Test 120 Day Accts";#N/A,#N/A,FALSE,"Tickmarks"}</definedName>
    <definedName name="aaaa" localSheetId="2" hidden="1">{"det (May)",#N/A,FALSE,"June";"sum (MAY YTD)",#N/A,FALSE,"June YTD"}</definedName>
    <definedName name="aaaa">#REF!</definedName>
    <definedName name="aaaa1" localSheetId="2" hidden="1">{#VALUE!,#N/A,TRUE,0}</definedName>
    <definedName name="aaaa1" hidden="1">{#VALUE!,#N/A,TRUE,0}</definedName>
    <definedName name="aaaa2" localSheetId="2" hidden="1">{#N/A,#N/A,TRUE,"Буржуям"}</definedName>
    <definedName name="aaaa2" hidden="1">{#N/A,#N/A,TRUE,"Буржуям"}</definedName>
    <definedName name="aaaaa" localSheetId="2" hidden="1">{"det (May)",#N/A,FALSE,"June";"sum (MAY YTD)",#N/A,FALSE,"June YTD"}</definedName>
    <definedName name="aaaaa">#REF!</definedName>
    <definedName name="aaaaaa" localSheetId="2" hidden="1">{#N/A,#N/A,FALSE,"activity"}</definedName>
    <definedName name="aaaaaa" hidden="1">{#N/A,#N/A,FALSE,"activity"}</definedName>
    <definedName name="aaaaaaa" localSheetId="2" hidden="1">{"B10-2000",#N/A,FALSE,"BL2000"}</definedName>
    <definedName name="aaaaaaa" hidden="1">{"B10-2000",#N/A,FALSE,"BL2000"}</definedName>
    <definedName name="aaaaaaaa" hidden="1">#REF!</definedName>
    <definedName name="aaaaaaaaa" hidden="1">#REF!</definedName>
    <definedName name="aaaaaaaaaa" localSheetId="2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" hidden="1">#REF!</definedName>
    <definedName name="aaaaaaaaaaa2" hidden="1">#REF!</definedName>
    <definedName name="aaaaaaaaaaaa" localSheetId="2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2" hidden="1">{"COMNUS2000",#N/A,FALSE,"BL2000"}</definedName>
    <definedName name="aaaaaaaaaaaaa" hidden="1">{"COMNUS2000",#N/A,FALSE,"BL2000"}</definedName>
    <definedName name="aaaaaaaaaaaaaa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aaaaaaaaaaaaaa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aaaaaaaaaaaaaaa" localSheetId="2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a" localSheetId="2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2" hidden="1">{"COMJPN2000",#N/A,FALSE,"BL2000"}</definedName>
    <definedName name="aaaaaaaaaaaaaaaaaaaaaaaa" hidden="1">{"COMJPN2000",#N/A,FALSE,"BL2000"}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>{"'CVB-Zinssatz Akt'!$A$2:$M$10","'CVB Ist'!$C$35:$O$37"}</definedName>
    <definedName name="abc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bc">#REF!</definedName>
    <definedName name="ACC_Depr">#REF!</definedName>
    <definedName name="Access_Button" hidden="1">"Активное_оборудование_Cabletron_Devices_Таблица1"</definedName>
    <definedName name="AccessDatabase">"C:\Мои документы\Ермек\Insurance.mdb"</definedName>
    <definedName name="AccNum" localSheetId="2">#REF!</definedName>
    <definedName name="AccNum">#REF!</definedName>
    <definedName name="AccNumSource" localSheetId="2">#REF!</definedName>
    <definedName name="AccNumSource">#REF!</definedName>
    <definedName name="Actual_2005">{"'CVB-Zinssatz Akt'!$A$2:$M$10","'CVB Ist'!$C$35:$O$37"}</definedName>
    <definedName name="Actual_2006">{"'CVB-Zinssatz Akt'!$A$2:$M$10","'CVB Ist'!$C$35:$O$37"}</definedName>
    <definedName name="ACwvu.Для._.И.М..">#REF!</definedName>
    <definedName name="ad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DD_LIST_BLOCK">1</definedName>
    <definedName name="Additions_07GAAPНовыеПриобретения" hidden="1">#NAME?</definedName>
    <definedName name="Additions_Капвложения" hidden="1">#NAME?</definedName>
    <definedName name="Additions_НеАллокированные" hidden="1">#NAME?</definedName>
    <definedName name="Additions_Оборудование" hidden="1">#NAME?</definedName>
    <definedName name="Additions_ПроизвБезГрупп" hidden="1">#NAME?</definedName>
    <definedName name="Additions_ПроизвБиблиотека" hidden="1">#NAME?</definedName>
    <definedName name="Additions_ПроизвЗдания" hidden="1">#NAME?</definedName>
    <definedName name="Additions_ПроизвЗемля" hidden="1">#NAME?</definedName>
    <definedName name="Additions_ПроизвИнвентарь" hidden="1">#NAME?</definedName>
    <definedName name="Additions_ПроизвИнструмент" hidden="1">#NAME?</definedName>
    <definedName name="Additions_ПроизвМашВыч" hidden="1">#NAME?</definedName>
    <definedName name="Additions_ПроизвМашИзмер" hidden="1">#NAME?</definedName>
    <definedName name="Additions_ПроизвМашПроч" hidden="1">#NAME?</definedName>
    <definedName name="Additions_ПроизвМашРабоч" hidden="1">#NAME?</definedName>
    <definedName name="Additions_ПроизвМашСил" hidden="1">#NAME?</definedName>
    <definedName name="Additions_ПроизвНасаждения" hidden="1">#NAME?</definedName>
    <definedName name="Additions_ПроизвПередат" hidden="1">#NAME?</definedName>
    <definedName name="Additions_ПроизвПрочие" hidden="1">#NAME?</definedName>
    <definedName name="Additions_ПроизвСкот" hidden="1">#NAME?</definedName>
    <definedName name="Additions_ПроизвСооружения" hidden="1">#NAME?</definedName>
    <definedName name="Additions_ПроизвТранспорт" hidden="1">#NAME?</definedName>
    <definedName name="Additions_ПроизвУлучшЗемли" hidden="1">#NAME?</definedName>
    <definedName name="Additions_СоцБезГрупп" hidden="1">#NAME?</definedName>
    <definedName name="Additions_СоцБиблиотека" hidden="1">#NAME?</definedName>
    <definedName name="Additions_СоцЗдания" hidden="1">#NAME?</definedName>
    <definedName name="Additions_СоцЗемля" hidden="1">#NAME?</definedName>
    <definedName name="Additions_СоцИнвентарь" hidden="1">#NAME?</definedName>
    <definedName name="Additions_СоцИнструмент" hidden="1">#NAME?</definedName>
    <definedName name="Additions_СоцМашВыч" hidden="1">#NAME?</definedName>
    <definedName name="Additions_СоцМашИзмер" hidden="1">#NAME?</definedName>
    <definedName name="Additions_СоцМашПроч" hidden="1">#NAME?</definedName>
    <definedName name="Additions_СоцМашРабоч" hidden="1">#NAME?</definedName>
    <definedName name="Additions_СоцМашСил" hidden="1">#NAME?</definedName>
    <definedName name="Additions_СоцНасаждения" hidden="1">#NAME?</definedName>
    <definedName name="Additions_СоцПередат" hidden="1">#NAME?</definedName>
    <definedName name="Additions_СоцПрочие" hidden="1">#NAME?</definedName>
    <definedName name="Additions_СоцСкот" hidden="1">#NAME?</definedName>
    <definedName name="Additions_СоцСооружения" hidden="1">#NAME?</definedName>
    <definedName name="Additions_СоцТранспорт" hidden="1">#NAME?</definedName>
    <definedName name="Additions_СоцУлучшЗемли" hidden="1">#NAME?</definedName>
    <definedName name="AdditionsInput_НеАллокированные" hidden="1">#NAME?</definedName>
    <definedName name="AdditionsInput_ПроизвБезГрупп" hidden="1">#NAME?</definedName>
    <definedName name="AdditionsInput_ПроизвБиблиотека" hidden="1">#NAME?</definedName>
    <definedName name="AdditionsInput_ПроизвЗдания" hidden="1">#NAME?</definedName>
    <definedName name="AdditionsInput_ПроизвЗемля" hidden="1">#NAME?</definedName>
    <definedName name="AdditionsInput_ПроизвИнвентарь" hidden="1">#NAME?</definedName>
    <definedName name="AdditionsInput_ПроизвИнструмент" hidden="1">#NAME?</definedName>
    <definedName name="AdditionsInput_ПроизвМашВыч" hidden="1">#NAME?</definedName>
    <definedName name="AdditionsInput_ПроизвМашИзмер" hidden="1">#NAME?</definedName>
    <definedName name="AdditionsInput_ПроизвМашПроч" hidden="1">#NAME?</definedName>
    <definedName name="AdditionsInput_ПроизвМашРабоч" hidden="1">#NAME?</definedName>
    <definedName name="AdditionsInput_ПроизвМашСил" hidden="1">#NAME?</definedName>
    <definedName name="AdditionsInput_ПроизвНасаждения" hidden="1">#NAME?</definedName>
    <definedName name="AdditionsInput_ПроизвПередат" hidden="1">#NAME?</definedName>
    <definedName name="AdditionsInput_ПроизвПрочие" hidden="1">#NAME?</definedName>
    <definedName name="AdditionsInput_ПроизвСкот" hidden="1">#NAME?</definedName>
    <definedName name="AdditionsInput_ПроизвСооружения" hidden="1">#NAME?</definedName>
    <definedName name="AdditionsInput_ПроизвТранспорт" hidden="1">#NAME?</definedName>
    <definedName name="AdditionsInput_ПроизвУлучшЗемли" hidden="1">#NAME?</definedName>
    <definedName name="AdditionsInput_СоцБезГрупп" hidden="1">#NAME?</definedName>
    <definedName name="AdditionsInput_СоцБиблиотека" hidden="1">#NAME?</definedName>
    <definedName name="AdditionsInput_СоцЗдания" hidden="1">#NAME?</definedName>
    <definedName name="AdditionsInput_СоцЗемля" hidden="1">#NAME?</definedName>
    <definedName name="AdditionsInput_СоцИнвентарь" hidden="1">#NAME?</definedName>
    <definedName name="AdditionsInput_СоцИнструмент" hidden="1">#NAME?</definedName>
    <definedName name="AdditionsInput_СоцМашВыч" hidden="1">#NAME?</definedName>
    <definedName name="AdditionsInput_СоцМашИзмер" hidden="1">#NAME?</definedName>
    <definedName name="AdditionsInput_СоцМашПроч" hidden="1">#NAME?</definedName>
    <definedName name="AdditionsInput_СоцМашРабоч" hidden="1">#NAME?</definedName>
    <definedName name="AdditionsInput_СоцМашСил" hidden="1">#NAME?</definedName>
    <definedName name="AdditionsInput_СоцНасаждения" hidden="1">#NAME?</definedName>
    <definedName name="AdditionsInput_СоцПередат" hidden="1">#NAME?</definedName>
    <definedName name="AdditionsInput_СоцПрочие" hidden="1">#NAME?</definedName>
    <definedName name="AdditionsInput_СоцСкот" hidden="1">#NAME?</definedName>
    <definedName name="AdditionsInput_СоцСооружения" hidden="1">#NAME?</definedName>
    <definedName name="AdditionsInput_СоцТранспорт" hidden="1">#NAME?</definedName>
    <definedName name="AdditionsInput_СоцУлучшЗемли" hidden="1">#NAME?</definedName>
    <definedName name="AdditionsNew_Капвложения" hidden="1">#NAME?</definedName>
    <definedName name="AdditionsNew_НеАллокированные" hidden="1">#NAME?</definedName>
    <definedName name="AdditionsNew_Оборудование" hidden="1">#NAME?</definedName>
    <definedName name="AdditionsNew_ПроизвБезГрупп" hidden="1">#NAME?</definedName>
    <definedName name="AdditionsNew_ПроизвБиблиотека" hidden="1">#NAME?</definedName>
    <definedName name="AdditionsNew_ПроизвЗдания" hidden="1">#NAME?</definedName>
    <definedName name="AdditionsNew_ПроизвЗемля" hidden="1">#NAME?</definedName>
    <definedName name="AdditionsNew_ПроизвИнвентарь" hidden="1">#NAME?</definedName>
    <definedName name="AdditionsNew_ПроизвИнструмент" hidden="1">#NAME?</definedName>
    <definedName name="AdditionsNew_ПроизвМашВыч" hidden="1">#NAME?</definedName>
    <definedName name="AdditionsNew_ПроизвМашИзмер" hidden="1">#NAME?</definedName>
    <definedName name="AdditionsNew_ПроизвМашПроч" hidden="1">#NAME?</definedName>
    <definedName name="AdditionsNew_ПроизвМашРабоч" hidden="1">#NAME?</definedName>
    <definedName name="AdditionsNew_ПроизвМашСил" hidden="1">#NAME?</definedName>
    <definedName name="AdditionsNew_ПроизвНасаждения" hidden="1">#NAME?</definedName>
    <definedName name="AdditionsNew_ПроизвПередат" hidden="1">#NAME?</definedName>
    <definedName name="AdditionsNew_ПроизвПрочие" hidden="1">#NAME?</definedName>
    <definedName name="AdditionsNew_ПроизвСкот" hidden="1">#NAME?</definedName>
    <definedName name="AdditionsNew_ПроизвСооружения" hidden="1">#NAME?</definedName>
    <definedName name="AdditionsNew_ПроизвТранспорт" hidden="1">#NAME?</definedName>
    <definedName name="AdditionsNew_ПроизвУлучшЗемли" hidden="1">#NAME?</definedName>
    <definedName name="AdditionsNew_СоцБезГрупп" hidden="1">#NAME?</definedName>
    <definedName name="AdditionsNew_СоцБиблиотека" hidden="1">#NAME?</definedName>
    <definedName name="AdditionsNew_СоцЗдания" hidden="1">#NAME?</definedName>
    <definedName name="AdditionsNew_СоцЗемля" hidden="1">#NAME?</definedName>
    <definedName name="AdditionsNew_СоцИнвентарь" hidden="1">#NAME?</definedName>
    <definedName name="AdditionsNew_СоцИнструмент" hidden="1">#NAME?</definedName>
    <definedName name="AdditionsNew_СоцМашВыч" hidden="1">#NAME?</definedName>
    <definedName name="AdditionsNew_СоцМашИзмер" hidden="1">#NAME?</definedName>
    <definedName name="AdditionsNew_СоцМашПроч" hidden="1">#NAME?</definedName>
    <definedName name="AdditionsNew_СоцМашРабоч" hidden="1">#NAME?</definedName>
    <definedName name="AdditionsNew_СоцМашСил" hidden="1">#NAME?</definedName>
    <definedName name="AdditionsNew_СоцНасаждения" hidden="1">#NAME?</definedName>
    <definedName name="AdditionsNew_СоцПередат" hidden="1">#NAME?</definedName>
    <definedName name="AdditionsNew_СоцПрочие" hidden="1">#NAME?</definedName>
    <definedName name="AdditionsNew_СоцСкот" hidden="1">#NAME?</definedName>
    <definedName name="AdditionsNew_СоцСооружения" hidden="1">#NAME?</definedName>
    <definedName name="AdditionsNew_СоцТранспорт" hidden="1">#NAME?</definedName>
    <definedName name="AdditionsNew_СоцУлучшЗемли" hidden="1">#NAME?</definedName>
    <definedName name="AdditionsNewIco_Капвложения" hidden="1">#NAME?</definedName>
    <definedName name="AdditionsNewIco_НеАллокированные" hidden="1">#NAME?</definedName>
    <definedName name="AdditionsNewIco_Оборудование" hidden="1">#NAME?</definedName>
    <definedName name="AdditionsNewIco_ПроизвБезГрупп" hidden="1">#NAME?</definedName>
    <definedName name="AdditionsNewIco_ПроизвБиблиотека" hidden="1">#NAME?</definedName>
    <definedName name="AdditionsNewIco_ПроизвЗдания" hidden="1">#NAME?</definedName>
    <definedName name="AdditionsNewIco_ПроизвЗемля" hidden="1">#NAME?</definedName>
    <definedName name="AdditionsNewIco_ПроизвИнвентарь" hidden="1">#NAME?</definedName>
    <definedName name="AdditionsNewIco_ПроизвИнструмент" hidden="1">#NAME?</definedName>
    <definedName name="AdditionsNewIco_ПроизвМашВыч" hidden="1">#NAME?</definedName>
    <definedName name="AdditionsNewIco_ПроизвМашИзмер" hidden="1">#NAME?</definedName>
    <definedName name="AdditionsNewIco_ПроизвМашПроч" hidden="1">#NAME?</definedName>
    <definedName name="AdditionsNewIco_ПроизвМашРабоч" hidden="1">#NAME?</definedName>
    <definedName name="AdditionsNewIco_ПроизвМашСил" hidden="1">#NAME?</definedName>
    <definedName name="AdditionsNewIco_ПроизвНасаждения" hidden="1">#NAME?</definedName>
    <definedName name="AdditionsNewIco_ПроизвПередат" hidden="1">#NAME?</definedName>
    <definedName name="AdditionsNewIco_ПроизвПрочие" hidden="1">#NAME?</definedName>
    <definedName name="AdditionsNewIco_ПроизвСкот" hidden="1">#NAME?</definedName>
    <definedName name="AdditionsNewIco_ПроизвСооружения" hidden="1">#NAME?</definedName>
    <definedName name="AdditionsNewIco_ПроизвТранспорт" hidden="1">#NAME?</definedName>
    <definedName name="AdditionsNewIco_ПроизвУлучшЗемли" hidden="1">#NAME?</definedName>
    <definedName name="AdditionsNewIco_СоцБезГрупп" hidden="1">#NAME?</definedName>
    <definedName name="AdditionsNewIco_СоцБиблиотека" hidden="1">#NAME?</definedName>
    <definedName name="AdditionsNewIco_СоцЗдания" hidden="1">#NAME?</definedName>
    <definedName name="AdditionsNewIco_СоцЗемля" hidden="1">#NAME?</definedName>
    <definedName name="AdditionsNewIco_СоцИнвентарь" hidden="1">#NAME?</definedName>
    <definedName name="AdditionsNewIco_СоцИнструмент" hidden="1">#NAME?</definedName>
    <definedName name="AdditionsNewIco_СоцМашВыч" hidden="1">#NAME?</definedName>
    <definedName name="AdditionsNewIco_СоцМашИзмер" hidden="1">#NAME?</definedName>
    <definedName name="AdditionsNewIco_СоцМашПроч" hidden="1">#NAME?</definedName>
    <definedName name="AdditionsNewIco_СоцМашРабоч" hidden="1">#NAME?</definedName>
    <definedName name="AdditionsNewIco_СоцМашСил" hidden="1">#NAME?</definedName>
    <definedName name="AdditionsNewIco_СоцНасаждения" hidden="1">#NAME?</definedName>
    <definedName name="AdditionsNewIco_СоцПередат" hidden="1">#NAME?</definedName>
    <definedName name="AdditionsNewIco_СоцПрочие" hidden="1">#NAME?</definedName>
    <definedName name="AdditionsNewIco_СоцСкот" hidden="1">#NAME?</definedName>
    <definedName name="AdditionsNewIco_СоцСооружения" hidden="1">#NAME?</definedName>
    <definedName name="AdditionsNewIco_СоцТранспорт" hidden="1">#NAME?</definedName>
    <definedName name="AdditionsNewIco_СоцУлучшЗемли" hidden="1">#NAME?</definedName>
    <definedName name="AdditionsTransfer_Капвложения" hidden="1">#NAME?</definedName>
    <definedName name="AdditionsTransfer_НеАллокированные" hidden="1">#NAME?</definedName>
    <definedName name="AdditionsTransfer_Оборудование" hidden="1">#NAME?</definedName>
    <definedName name="AdditionsTransfer_ПроизвБезГрупп" hidden="1">#NAME?</definedName>
    <definedName name="AdditionsTransfer_ПроизвБиблиотека" hidden="1">#NAME?</definedName>
    <definedName name="AdditionsTransfer_ПроизвЗдания" hidden="1">#NAME?</definedName>
    <definedName name="AdditionsTransfer_ПроизвЗемля" hidden="1">#NAME?</definedName>
    <definedName name="AdditionsTransfer_ПроизвИнвентарь" hidden="1">#NAME?</definedName>
    <definedName name="AdditionsTransfer_ПроизвИнструмент" hidden="1">#NAME?</definedName>
    <definedName name="AdditionsTransfer_ПроизвМашВыч" hidden="1">#NAME?</definedName>
    <definedName name="AdditionsTransfer_ПроизвМашИзмер" hidden="1">#NAME?</definedName>
    <definedName name="AdditionsTransfer_ПроизвМашПроч" hidden="1">#NAME?</definedName>
    <definedName name="AdditionsTransfer_ПроизвМашРабоч" hidden="1">#NAME?</definedName>
    <definedName name="AdditionsTransfer_ПроизвМашСил" hidden="1">#NAME?</definedName>
    <definedName name="AdditionsTransfer_ПроизвНасаждения" hidden="1">#NAME?</definedName>
    <definedName name="AdditionsTransfer_ПроизвПередат" hidden="1">#NAME?</definedName>
    <definedName name="AdditionsTransfer_ПроизвПрочие" hidden="1">#NAME?</definedName>
    <definedName name="AdditionsTransfer_ПроизвСкот" hidden="1">#NAME?</definedName>
    <definedName name="AdditionsTransfer_ПроизвСооружения" hidden="1">#NAME?</definedName>
    <definedName name="AdditionsTransfer_ПроизвТранспорт" hidden="1">#NAME?</definedName>
    <definedName name="AdditionsTransfer_ПроизвУлучшЗемли" hidden="1">#NAME?</definedName>
    <definedName name="AdditionsTransfer_СоцБезГрупп" hidden="1">#NAME?</definedName>
    <definedName name="AdditionsTransfer_СоцБиблиотека" hidden="1">#NAME?</definedName>
    <definedName name="AdditionsTransfer_СоцЗдания" hidden="1">#NAME?</definedName>
    <definedName name="AdditionsTransfer_СоцЗемля" hidden="1">#NAME?</definedName>
    <definedName name="AdditionsTransfer_СоцИнвентарь" hidden="1">#NAME?</definedName>
    <definedName name="AdditionsTransfer_СоцИнструмент" hidden="1">#NAME?</definedName>
    <definedName name="AdditionsTransfer_СоцМашВыч" hidden="1">#NAME?</definedName>
    <definedName name="AdditionsTransfer_СоцМашИзмер" hidden="1">#NAME?</definedName>
    <definedName name="AdditionsTransfer_СоцМашПроч" hidden="1">#NAME?</definedName>
    <definedName name="AdditionsTransfer_СоцМашРабоч" hidden="1">#NAME?</definedName>
    <definedName name="AdditionsTransfer_СоцМашСил" hidden="1">#NAME?</definedName>
    <definedName name="AdditionsTransfer_СоцНасаждения" hidden="1">#NAME?</definedName>
    <definedName name="AdditionsTransfer_СоцПередат" hidden="1">#NAME?</definedName>
    <definedName name="AdditionsTransfer_СоцПрочие" hidden="1">#NAME?</definedName>
    <definedName name="AdditionsTransfer_СоцСкот" hidden="1">#NAME?</definedName>
    <definedName name="AdditionsTransfer_СоцСооружения" hidden="1">#NAME?</definedName>
    <definedName name="AdditionsTransfer_СоцТранспорт" hidden="1">#NAME?</definedName>
    <definedName name="AdditionsTransfer_СоцУлучшЗемли" hidden="1">#NAME?</definedName>
    <definedName name="adfa" localSheetId="2" hidden="1">{#N/A,#N/A,FALSE,"Finanzplan";#N/A,#N/A,FALSE,"Bilanz";#N/A,#N/A,FALSE,"GuV"}</definedName>
    <definedName name="adfa" hidden="1">{#N/A,#N/A,FALSE,"Finanzplan";#N/A,#N/A,FALSE,"Bilanz";#N/A,#N/A,FALSE,"GuV"}</definedName>
    <definedName name="ADJCOLUMN" localSheetId="2">#REF!</definedName>
    <definedName name="ADJCOLUMN">#REF!</definedName>
    <definedName name="ADJHEADER" localSheetId="2">#REF!</definedName>
    <definedName name="ADJHEADER">#REF!</definedName>
    <definedName name="ADJUSTS" localSheetId="2">#REF!</definedName>
    <definedName name="ADJUSTS">#REF!</definedName>
    <definedName name="adsf" localSheetId="2" hidden="1">{#N/A,#N/A,TRUE,"Sheet16"}</definedName>
    <definedName name="adsf" hidden="1">{#N/A,#N/A,TRUE,"Sheet16"}</definedName>
    <definedName name="aertaejtae" localSheetId="2" hidden="1">{#N/A,#N/A,FALSE,"ACQ_GRAPHS";#N/A,#N/A,FALSE,"T_1 GRAPHS";#N/A,#N/A,FALSE,"T_2 GRAPHS";#N/A,#N/A,FALSE,"COMB_GRAPHS"}</definedName>
    <definedName name="aertaejtae" hidden="1">{#N/A,#N/A,FALSE,"ACQ_GRAPHS";#N/A,#N/A,FALSE,"T_1 GRAPHS";#N/A,#N/A,FALSE,"T_2 GRAPHS";#N/A,#N/A,FALSE,"COMB_GRAPHS"}</definedName>
    <definedName name="aew" localSheetId="2" hidden="1">{"print95",#N/A,FALSE,"1995E.XLS";"print96",#N/A,FALSE,"1996E.XLS"}</definedName>
    <definedName name="aew" hidden="1">{"print95",#N/A,FALSE,"1995E.XLS";"print96",#N/A,FALSE,"1996E.XLS"}</definedName>
    <definedName name="aewr" localSheetId="2" hidden="1">{"mgmt forecast",#N/A,FALSE,"Mgmt Forecast";"dcf table",#N/A,FALSE,"Mgmt Forecast";"sensitivity",#N/A,FALSE,"Mgmt Forecast";"table inputs",#N/A,FALSE,"Mgmt Forecast";"calculations",#N/A,FALSE,"Mgmt Forecast"}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fa" localSheetId="2" hidden="1">{"vi1",#N/A,FALSE,"Financial Statements";"vi2",#N/A,FALSE,"Financial Statements";#N/A,#N/A,FALSE,"DCF"}</definedName>
    <definedName name="afa" hidden="1">{"vi1",#N/A,FALSE,"Financial Statements";"vi2",#N/A,FALSE,"Financial Statements";#N/A,#N/A,FALSE,"DCF"}</definedName>
    <definedName name="afhsrhsrgh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afhsrhsrgh" hidden="1">{#N/A,#N/A,FALSE,"INPUTS";#N/A,#N/A,FALSE,"PROFORMA BSHEET";#N/A,#N/A,FALSE,"COMBINED";#N/A,#N/A,FALSE,"ACQUIROR";#N/A,#N/A,FALSE,"TARGET 1";#N/A,#N/A,FALSE,"TARGET 2";#N/A,#N/A,FALSE,"HIGH YIELD";#N/A,#N/A,FALSE,"OVERFUND"}</definedName>
    <definedName name="afsf" localSheetId="2" hidden="1">{#N/A,#N/A,FALSE,"Закрытые кредиты"}</definedName>
    <definedName name="afsf" hidden="1">{#N/A,#N/A,FALSE,"Закрытые кредиты"}</definedName>
    <definedName name="Agr_temp" localSheetId="2" hidden="1">{"Supporting Schedules",#N/A,FALSE,"Results"}</definedName>
    <definedName name="Agr_temp" hidden="1">{"Supporting Schedules",#N/A,FALSE,"Results"}</definedName>
    <definedName name="Agr_temp_1" localSheetId="2" hidden="1">{"Supporting Schedules",#N/A,FALSE,"Results"}</definedName>
    <definedName name="Agr_temp_1" hidden="1">{"Supporting Schedules",#N/A,FALSE,"Results"}</definedName>
    <definedName name="Aida_2" localSheetId="2" hidden="1">{#N/A,#N/A,FALSE,"Finanzplan";#N/A,#N/A,FALSE,"Bilanz";#N/A,#N/A,FALSE,"GuV"}</definedName>
    <definedName name="Aida_2" hidden="1">{#N/A,#N/A,FALSE,"Finanzplan";#N/A,#N/A,FALSE,"Bilanz";#N/A,#N/A,FALSE,"GuV"}</definedName>
    <definedName name="Aida_4" localSheetId="2" hidden="1">{#N/A,#N/A,FALSE,"Finanzplan";#N/A,#N/A,FALSE,"Bilanz";#N/A,#N/A,FALSE,"GuV"}</definedName>
    <definedName name="Aida_4" hidden="1">{#N/A,#N/A,FALSE,"Finanzplan";#N/A,#N/A,FALSE,"Bilanz";#N/A,#N/A,FALSE,"GuV"}</definedName>
    <definedName name="aje" hidden="1">"AS2DocumentBrowse"</definedName>
    <definedName name="al" localSheetId="2">#REF!</definedName>
    <definedName name="al">#REF!</definedName>
    <definedName name="alex_Z" localSheetId="2" hidden="1">{"'РП (2)'!$A$5:$S$150"}</definedName>
    <definedName name="alex_Z" hidden="1">{"'РП (2)'!$A$5:$S$150"}</definedName>
    <definedName name="All" localSheetId="2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">#REF!</definedName>
    <definedName name="AN" localSheetId="2" hidden="1">{#N/A,#N/A,TRUE,"Summary"}</definedName>
    <definedName name="AN" hidden="1">{#N/A,#N/A,TRUE,"Summary"}</definedName>
    <definedName name="Anisa">{"Cover",#N/A,FALSE,"Cover";#N/A,#N/A,FALSE,"Kommentar";"GuV1",#N/A,FALSE,"Eingabe_Daten_GuV_Sonstiges";"Kennzahlen",#N/A,FALSE,"Eingabe_Daten_GuV_Sonstiges";"Eckdaten1",#N/A,FALSE,"Eckdaten_Versand"}</definedName>
    <definedName name="AnnualAddPay_Avg">#REF!</definedName>
    <definedName name="AnnualAddPay_AvgW">#REF!</definedName>
    <definedName name="AnnualAddPay_Prc_1">#REF!</definedName>
    <definedName name="AnnualAddPay_Prc_2">#REF!</definedName>
    <definedName name="AnnualAddPay_Prc_3">#REF!</definedName>
    <definedName name="AnnualAddPay_Prc_4">#REF!</definedName>
    <definedName name="AnnualAddPay_Prc_5">#REF!</definedName>
    <definedName name="AnnualAddPay1_Avg">#REF!</definedName>
    <definedName name="AnnualAddPay1_AvgW">#REF!</definedName>
    <definedName name="AnnualAddPay1_Prc_1">#REF!</definedName>
    <definedName name="AnnualAddPay1_Prc_2">#REF!</definedName>
    <definedName name="AnnualAddPay1_Prc_3">#REF!</definedName>
    <definedName name="AnnualAddPay1_Prc_4">#REF!</definedName>
    <definedName name="AnnualAddPay1_Prc_5">#REF!</definedName>
    <definedName name="AnnualAddPay2_Avg">#REF!</definedName>
    <definedName name="AnnualAddPay2_AvgW">#REF!</definedName>
    <definedName name="AnnualAddPay2_Prc_1">#REF!</definedName>
    <definedName name="AnnualAddPay2_Prc_2">#REF!</definedName>
    <definedName name="AnnualAddPay2_Prc_3">#REF!</definedName>
    <definedName name="AnnualAddPay2_Prc_4">#REF!</definedName>
    <definedName name="AnnualAddPay2_Prc_5">#REF!</definedName>
    <definedName name="AnnualAddPay3_Avg">#REF!</definedName>
    <definedName name="AnnualAddPay3_AvgW">#REF!</definedName>
    <definedName name="AnnualAddPay3_Prc_1">#REF!</definedName>
    <definedName name="AnnualAddPay3_Prc_2">#REF!</definedName>
    <definedName name="AnnualAddPay3_Prc_3">#REF!</definedName>
    <definedName name="AnnualAddPay3_Prc_4">#REF!</definedName>
    <definedName name="AnnualAddPay3_Prc_5">#REF!</definedName>
    <definedName name="AnnualAddPay4_Avg">#REF!</definedName>
    <definedName name="AnnualAddPay4_AvgW">#REF!</definedName>
    <definedName name="AnnualAddPay4_Prc_1">#REF!</definedName>
    <definedName name="AnnualAddPay4_Prc_2">#REF!</definedName>
    <definedName name="AnnualAddPay4_Prc_3">#REF!</definedName>
    <definedName name="AnnualAddPay4_Prc_4">#REF!</definedName>
    <definedName name="AnnualAddPay4_Prc_5">#REF!</definedName>
    <definedName name="AnnualCompPay_Avg">#REF!</definedName>
    <definedName name="AnnualCompPay_AvgW">#REF!</definedName>
    <definedName name="AnnualCompPay_Prc_1">#REF!</definedName>
    <definedName name="AnnualCompPay_Prc_2">#REF!</definedName>
    <definedName name="AnnualCompPay_Prc_3">#REF!</definedName>
    <definedName name="AnnualCompPay_Prc_4">#REF!</definedName>
    <definedName name="AnnualCompPay_Prc_5">#REF!</definedName>
    <definedName name="AnnualStatePay_Avg">#REF!</definedName>
    <definedName name="AnnualStatePay_AvgW">#REF!</definedName>
    <definedName name="AnnualStatePay_Prc_1">#REF!</definedName>
    <definedName name="AnnualStatePay_Prc_2">#REF!</definedName>
    <definedName name="AnnualStatePay_Prc_3">#REF!</definedName>
    <definedName name="AnnualStatePay_Prc_4">#REF!</definedName>
    <definedName name="AnnualStatePay_Prc_5">#REF!</definedName>
    <definedName name="AnnualTotalPay_Avg">#REF!</definedName>
    <definedName name="AnnualTotalPay_AvgW">#REF!</definedName>
    <definedName name="AnnualTotalPay_Prc_1">#REF!</definedName>
    <definedName name="AnnualTotalPay_Prc_2">#REF!</definedName>
    <definedName name="AnnualTotalPay_Prc_3">#REF!</definedName>
    <definedName name="AnnualTotalPay_Prc_4">#REF!</definedName>
    <definedName name="AnnualTotalPay_Prc_5">#REF!</definedName>
    <definedName name="anscount">1</definedName>
    <definedName name="antonio">{#N/A,"70% Success",FALSE,"Sales Forecast";#N/A,#N/A,FALSE,"Sheet2"}</definedName>
    <definedName name="antonio_1">{#N/A,"70% Success",FALSE,"Sales Forecast";#N/A,#N/A,FALSE,"Sheet2"}</definedName>
    <definedName name="antonio_2">{#N/A,"70% Success",FALSE,"Sales Forecast";#N/A,#N/A,FALSE,"Sheet2"}</definedName>
    <definedName name="apr" localSheetId="2">#REF!</definedName>
    <definedName name="apr">#REF!</definedName>
    <definedName name="aq" localSheetId="2" hidden="1">{"'РП (2)'!$A$5:$S$150"}</definedName>
    <definedName name="aq" hidden="1">{"'РП (2)'!$A$5:$S$150"}</definedName>
    <definedName name="aqer" localSheetId="2" hidden="1">{"'Sheet1'!$A$1:$G$85"}</definedName>
    <definedName name="aqer" hidden="1">{"'Sheet1'!$A$1:$G$85"}</definedName>
    <definedName name="argsrmsrymas" localSheetId="2" hidden="1">{"vi1",#N/A,FALSE,"Financial Statements";"vi2",#N/A,FALSE,"Financial Statements";#N/A,#N/A,FALSE,"DCF"}</definedName>
    <definedName name="argsrmsrymas" hidden="1">{"vi1",#N/A,FALSE,"Financial Statements";"vi2",#N/A,FALSE,"Financial Statements";#N/A,#N/A,FALSE,"DCF"}</definedName>
    <definedName name="arhsyhsrth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rhsyhsrth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rjagnargna" localSheetId="2" hidden="1">{#N/A,#N/A,FALSE,"ACQ_GRAPHS";#N/A,#N/A,FALSE,"T_1 GRAPHS";#N/A,#N/A,FALSE,"T_2 GRAPHS";#N/A,#N/A,FALSE,"COMB_GRAPHS"}</definedName>
    <definedName name="arjagnargna" hidden="1">{#N/A,#N/A,FALSE,"ACQ_GRAPHS";#N/A,#N/A,FALSE,"T_1 GRAPHS";#N/A,#N/A,FALSE,"T_2 GRAPHS";#N/A,#N/A,FALSE,"COMB_GRAPHS"}</definedName>
    <definedName name="arkh" localSheetId="2">#REF!</definedName>
    <definedName name="arkh">#REF!</definedName>
    <definedName name="Array" localSheetId="2">#REF!</definedName>
    <definedName name="Array">#REF!</definedName>
    <definedName name="artajtajea" localSheetId="2" hidden="1">{#N/A,#N/A,FALSE,"Valuation Assumptions";#N/A,#N/A,FALSE,"Summary";#N/A,#N/A,FALSE,"DCF";#N/A,#N/A,FALSE,"Valuation";#N/A,#N/A,FALSE,"WACC";#N/A,#N/A,FALSE,"UBVH";#N/A,#N/A,FALSE,"Free Cash Flow"}</definedName>
    <definedName name="artajtajea" hidden="1">{#N/A,#N/A,FALSE,"Valuation Assumptions";#N/A,#N/A,FALSE,"Summary";#N/A,#N/A,FALSE,"DCF";#N/A,#N/A,FALSE,"Valuation";#N/A,#N/A,FALSE,"WACC";#N/A,#N/A,FALSE,"UBVH";#N/A,#N/A,FALSE,"Free Cash Flow"}</definedName>
    <definedName name="artjawrja" localSheetId="2" hidden="1">{#N/A,#N/A,FALSE,"INPUTS";#N/A,#N/A,FALSE,"PROFORMA BSHEET";#N/A,#N/A,FALSE,"COMBINED";#N/A,#N/A,FALSE,"HIGH YIELD";#N/A,#N/A,FALSE,"COMB_GRAPHS"}</definedName>
    <definedName name="artjawrja" hidden="1">{#N/A,#N/A,FALSE,"INPUTS";#N/A,#N/A,FALSE,"PROFORMA BSHEET";#N/A,#N/A,FALSE,"COMBINED";#N/A,#N/A,FALSE,"HIGH YIELD";#N/A,#N/A,FALSE,"COMB_GRAPHS"}</definedName>
    <definedName name="as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2DocOpenMode">"AS2DocumentBrowse"</definedName>
    <definedName name="AS2DocOpenMode1" hidden="1">"AS2DocumentBrowse"</definedName>
    <definedName name="AS2HasNoAutoHeaderFooter" hidden="1">" "</definedName>
    <definedName name="AS2NamedRange" hidden="1">9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a" localSheetId="2" hidden="1">{#N/A,#N/A,FALSE,"т02бд"}</definedName>
    <definedName name="asasa" hidden="1">{#N/A,#N/A,FALSE,"т02бд"}</definedName>
    <definedName name="asd">#REF!</definedName>
    <definedName name="ASDAS" localSheetId="2">#REF!</definedName>
    <definedName name="ASDAS">#REF!</definedName>
    <definedName name="asdf" localSheetId="2" hidden="1">#REF!</definedName>
    <definedName name="asdf" hidden="1">#REF!</definedName>
    <definedName name="asdfasdf" localSheetId="2" hidden="1">#REF!</definedName>
    <definedName name="asdfasdf" hidden="1">#REF!</definedName>
    <definedName name="asdfdd" localSheetId="2" hidden="1">{"mgmt forecast",#N/A,FALSE,"Mgmt Forecast";"dcf table",#N/A,FALSE,"Mgmt Forecast";"sensitivity",#N/A,FALSE,"Mgmt Forecast";"table inputs",#N/A,FALSE,"Mgmt Forecast";"calculations",#N/A,FALSE,"Mgmt Forecast"}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sadf" hidden="1">#NAME?</definedName>
    <definedName name="asdsa">#REF!</definedName>
    <definedName name="asf" localSheetId="2" hidden="1">{"mgmt forecast",#N/A,FALSE,"Mgmt Forecast";"dcf table",#N/A,FALSE,"Mgmt Forecast";"sensitivity",#N/A,FALSE,"Mgmt Forecast";"table inputs",#N/A,FALSE,"Mgmt Forecast";"calculations",#N/A,FALSE,"Mgmt Forecast"}</definedName>
    <definedName name="asf" hidden="1">{"mgmt forecast",#N/A,FALSE,"Mgmt Forecast";"dcf table",#N/A,FALSE,"Mgmt Forecast";"sensitivity",#N/A,FALSE,"Mgmt Forecast";"table inputs",#N/A,FALSE,"Mgmt Forecast";"calculations",#N/A,FALSE,"Mgmt Forecast"}</definedName>
    <definedName name="asfd" localSheetId="2" hidden="1">{#N/A,#N/A,FALSE,"Finanzplan";#N/A,#N/A,FALSE,"Bilanz";#N/A,#N/A,FALSE,"GuV"}</definedName>
    <definedName name="asfd" hidden="1">{#N/A,#N/A,FALSE,"Finanzplan";#N/A,#N/A,FALSE,"Bilanz";#N/A,#N/A,FALSE,"GuV"}</definedName>
    <definedName name="asfd4" localSheetId="2" hidden="1">{"'Sheet1'!$A$1:$G$96","'Sheet1'!$A$1:$H$96"}</definedName>
    <definedName name="asfd4" hidden="1">{"'Sheet1'!$A$1:$G$96","'Sheet1'!$A$1:$H$96"}</definedName>
    <definedName name="asfd41" localSheetId="2" hidden="1">{"'Sheet1'!$A$1:$G$96","'Sheet1'!$A$1:$H$96"}</definedName>
    <definedName name="asfd41" hidden="1">{"'Sheet1'!$A$1:$G$96","'Sheet1'!$A$1:$H$96"}</definedName>
    <definedName name="ASGVK">#NAME?</definedName>
    <definedName name="Assore" localSheetId="2" hidden="1">{#N/A,#N/A,TRUE,"Cover sheet";#N/A,#N/A,TRUE,"DCF analysis";#N/A,#N/A,TRUE,"WACC calculation"}</definedName>
    <definedName name="Assore" hidden="1">{#N/A,#N/A,TRUE,"Cover sheet";#N/A,#N/A,TRUE,"DCF analysis";#N/A,#N/A,TRUE,"WACC calculation"}</definedName>
    <definedName name="astrakh" localSheetId="2">#REF!</definedName>
    <definedName name="astrakh">#REF!</definedName>
    <definedName name="AT_1_1_R" localSheetId="2">#REF!</definedName>
    <definedName name="AT_1_1_R">#REF!</definedName>
    <definedName name="AT_1_1_S" localSheetId="2">#REF!</definedName>
    <definedName name="AT_1_1_S">#REF!</definedName>
    <definedName name="AT_1_1_V">#REF!</definedName>
    <definedName name="AT_1_R">#REF!</definedName>
    <definedName name="AT_1_S">#REF!</definedName>
    <definedName name="AT_1_V">#REF!</definedName>
    <definedName name="AT_10_R">#REF!</definedName>
    <definedName name="AT_10_S">#REF!</definedName>
    <definedName name="AT_10_V">#REF!</definedName>
    <definedName name="AT_11_R">#REF!</definedName>
    <definedName name="AT_11_S">#REF!</definedName>
    <definedName name="AT_11_V">#REF!</definedName>
    <definedName name="AT_12_R">#REF!</definedName>
    <definedName name="AT_12_S">#REF!</definedName>
    <definedName name="AT_12_V">#REF!</definedName>
    <definedName name="AT_13_1_R">#REF!</definedName>
    <definedName name="AT_13_1_S">#REF!</definedName>
    <definedName name="AT_13_1_V">#REF!</definedName>
    <definedName name="AT_13_R">#REF!</definedName>
    <definedName name="AT_13_S">#REF!</definedName>
    <definedName name="AT_13_V">#REF!</definedName>
    <definedName name="AT_14_R">#REF!</definedName>
    <definedName name="AT_14_S">#REF!</definedName>
    <definedName name="AT_14_V">#REF!</definedName>
    <definedName name="AT_15_R">#REF!</definedName>
    <definedName name="AT_15_S">#REF!</definedName>
    <definedName name="AT_15_V">#REF!</definedName>
    <definedName name="AT_2_R">#REF!</definedName>
    <definedName name="AT_2_S">#REF!</definedName>
    <definedName name="AT_2_V">#REF!</definedName>
    <definedName name="AT_3_R">#REF!</definedName>
    <definedName name="AT_3_S">#REF!</definedName>
    <definedName name="AT_3_V">#REF!</definedName>
    <definedName name="AT_4_R">#REF!</definedName>
    <definedName name="AT_4_S">#REF!</definedName>
    <definedName name="AT_4_V">#REF!</definedName>
    <definedName name="AT_5_1_1_R">#REF!</definedName>
    <definedName name="AT_5_1_1_S">#REF!</definedName>
    <definedName name="AT_5_1_1_V">#REF!</definedName>
    <definedName name="AT_5_1_2_R">#REF!</definedName>
    <definedName name="AT_5_1_2_S">#REF!</definedName>
    <definedName name="AT_5_1_2_V">#REF!</definedName>
    <definedName name="AT_5_1_3_R">#REF!</definedName>
    <definedName name="AT_5_1_3_S">#REF!</definedName>
    <definedName name="AT_5_1_3_V">#REF!</definedName>
    <definedName name="AT_5_1_4_R">#REF!</definedName>
    <definedName name="AT_5_1_4_S">#REF!</definedName>
    <definedName name="AT_5_1_4_V">#REF!</definedName>
    <definedName name="AT_5_1_5_R">#REF!</definedName>
    <definedName name="AT_5_1_5_S">#REF!</definedName>
    <definedName name="AT_5_1_5_V">#REF!</definedName>
    <definedName name="AT_5_1_R">#REF!</definedName>
    <definedName name="AT_5_1_S">#REF!</definedName>
    <definedName name="AT_5_1_V">#REF!</definedName>
    <definedName name="AT_5_2_R">#REF!</definedName>
    <definedName name="AT_5_2_S">#REF!</definedName>
    <definedName name="AT_5_2_V">#REF!</definedName>
    <definedName name="AT_5_3_1_R">#REF!</definedName>
    <definedName name="AT_5_3_1_S">#REF!</definedName>
    <definedName name="AT_5_3_1_V">#REF!</definedName>
    <definedName name="AT_5_3_R">#REF!</definedName>
    <definedName name="AT_5_3_S">#REF!</definedName>
    <definedName name="AT_5_3_V">#REF!</definedName>
    <definedName name="AT_5_4_R">#REF!</definedName>
    <definedName name="AT_5_4_S">#REF!</definedName>
    <definedName name="AT_5_4_V">#REF!</definedName>
    <definedName name="AT_5_R">#REF!</definedName>
    <definedName name="AT_5_S">#REF!</definedName>
    <definedName name="AT_5_V">#REF!</definedName>
    <definedName name="AT_6_R">#REF!</definedName>
    <definedName name="AT_6_S">#REF!</definedName>
    <definedName name="AT_6_V">#REF!</definedName>
    <definedName name="AT_7_R">#REF!</definedName>
    <definedName name="AT_7_S">#REF!</definedName>
    <definedName name="AT_7_V">#REF!</definedName>
    <definedName name="AT_8_R">#REF!</definedName>
    <definedName name="AT_8_S">#REF!</definedName>
    <definedName name="AT_8_V">#REF!</definedName>
    <definedName name="AT_9_R">#REF!</definedName>
    <definedName name="AT_9_S">#REF!</definedName>
    <definedName name="AT_9_V">#REF!</definedName>
    <definedName name="AT_I_R">#REF!</definedName>
    <definedName name="AT_I_S">#REF!</definedName>
    <definedName name="AT_I_V">#REF!</definedName>
    <definedName name="AT_II_R">#REF!</definedName>
    <definedName name="AT_II_S">#REF!</definedName>
    <definedName name="AT_II_V">#REF!</definedName>
    <definedName name="AT_ITOG_R">#REF!</definedName>
    <definedName name="AT_ITOG_S">#REF!</definedName>
    <definedName name="AT_ITOG_V">#REF!</definedName>
    <definedName name="athsthae" localSheetId="2" hidden="1">{#N/A,#N/A,FALSE,"INPUTS";#N/A,#N/A,FALSE,"PROFORMA BSHEET";#N/A,#N/A,FALSE,"COMBINED";#N/A,#N/A,FALSE,"HIGH YIELD";#N/A,#N/A,FALSE,"COMB_GRAPHS"}</definedName>
    <definedName name="athsthae" hidden="1">{#N/A,#N/A,FALSE,"INPUTS";#N/A,#N/A,FALSE,"PROFORMA BSHEET";#N/A,#N/A,FALSE,"COMBINED";#N/A,#N/A,FALSE,"HIGH YIELD";#N/A,#N/A,FALSE,"COMB_GRAPHS"}</definedName>
    <definedName name="atjwerja" localSheetId="2" hidden="1">{#N/A,#N/A,FALSE,"Valuation Assumptions";#N/A,#N/A,FALSE,"Summary";#N/A,#N/A,FALSE,"DCF";#N/A,#N/A,FALSE,"Valuation";#N/A,#N/A,FALSE,"WACC";#N/A,#N/A,FALSE,"UBVH";#N/A,#N/A,FALSE,"Free Cash Flow"}</definedName>
    <definedName name="atjwerja" hidden="1">{#N/A,#N/A,FALSE,"Valuation Assumptions";#N/A,#N/A,FALSE,"Summary";#N/A,#N/A,FALSE,"DCF";#N/A,#N/A,FALSE,"Valuation";#N/A,#N/A,FALSE,"WACC";#N/A,#N/A,FALSE,"UBVH";#N/A,#N/A,FALSE,"Free Cash Flow"}</definedName>
    <definedName name="aug" localSheetId="2">#REF!</definedName>
    <definedName name="aug">#REF!</definedName>
    <definedName name="Avail_Payment">#NAME?</definedName>
    <definedName name="awert" localSheetId="2" hidden="1">{#N/A,#N/A,FALSE,"ORIX CSC"}</definedName>
    <definedName name="awert" hidden="1">{#N/A,#N/A,FALSE,"ORIX CSC"}</definedName>
    <definedName name="awq" localSheetId="2" hidden="1">{"print95",#N/A,FALSE,"1995E.XLS";"print96",#N/A,FALSE,"1996E.XLS"}</definedName>
    <definedName name="awq" hidden="1">{"print95",#N/A,FALSE,"1995E.XLS";"print96",#N/A,FALSE,"1996E.XLS"}</definedName>
    <definedName name="aws" localSheetId="2" hidden="1">{"print95",#N/A,FALSE,"1995E.XLS";"print96",#N/A,FALSE,"1996E.XLS"}</definedName>
    <definedName name="aws" hidden="1">{"print95",#N/A,FALSE,"1995E.XLS";"print96",#N/A,FALSE,"1996E.XLS"}</definedName>
    <definedName name="b">{#N/A,"30% Success",TRUE,"Sales Forecast";#N/A,#N/A,TRUE,"Sheet2"}</definedName>
    <definedName name="b_1">{#N/A,"30% Success",TRUE,"Sales Forecast";#N/A,#N/A,TRUE,"Sheet2"}</definedName>
    <definedName name="b_2">{#N/A,"30% Success",TRUE,"Sales Forecast";#N/A,#N/A,TRUE,"Sheet2"}</definedName>
    <definedName name="BAEinstaeinova">{"'CVB-Zinssatz Akt'!$A$2:$M$10","'CVB Ist'!$C$35:$O$37"}</definedName>
    <definedName name="BAL">#REF!</definedName>
    <definedName name="BALMSB_B20311" localSheetId="2" hidden="1">#REF!</definedName>
    <definedName name="BALMSB_B20311">#REF!</definedName>
    <definedName name="BALMSB_B20311_03" localSheetId="2" hidden="1">#REF!</definedName>
    <definedName name="BALMSB_B20311_03">#REF!</definedName>
    <definedName name="BALMSB_B20311_04">#REF!</definedName>
    <definedName name="BALMSB_B20317">#REF!</definedName>
    <definedName name="BALMSB_B20317_03">#REF!</definedName>
    <definedName name="BALMSB_B20317_04">#REF!</definedName>
    <definedName name="BALMSB_B30126_01">#REF!</definedName>
    <definedName name="BALMSB_B30226_01">#REF!</definedName>
    <definedName name="BALMSB_B30233_01">#REF!</definedName>
    <definedName name="BALMSB_B30233_02">#REF!</definedName>
    <definedName name="BALMSB_B30607_01">#REF!</definedName>
    <definedName name="BALMSB_B32115_01">#REF!</definedName>
    <definedName name="BALMSB_B32202_01">#REF!</definedName>
    <definedName name="BALMSB_B32202_02">#REF!</definedName>
    <definedName name="BALMSB_B32203_01">#REF!</definedName>
    <definedName name="BALMSB_B32203_02">#REF!</definedName>
    <definedName name="BALMSB_B32204_01">#REF!</definedName>
    <definedName name="BALMSB_B32204_02">#REF!</definedName>
    <definedName name="BALMSB_B32205_01">#REF!</definedName>
    <definedName name="BALMSB_B32205_02">#REF!</definedName>
    <definedName name="BALMSB_B32206_01">#REF!</definedName>
    <definedName name="BALMSB_B32206_02">#REF!</definedName>
    <definedName name="BALMSB_B32207_01">#REF!</definedName>
    <definedName name="BALMSB_B32207_02">#REF!</definedName>
    <definedName name="BALMSB_B32311_01">#REF!</definedName>
    <definedName name="BALMSB_B32401_01">#REF!</definedName>
    <definedName name="BALMSB_B32401_02">#REF!</definedName>
    <definedName name="BALMSB_B32403_01">#REF!</definedName>
    <definedName name="BALMSB_B32403_02">#REF!</definedName>
    <definedName name="BALMSB_B45615_01">#REF!</definedName>
    <definedName name="BALMSB_B45715_01">#REF!</definedName>
    <definedName name="BALMSB_B45801_01">#REF!</definedName>
    <definedName name="BALMSB_B45801_02">#REF!</definedName>
    <definedName name="BALMSB_B45802_01">#REF!</definedName>
    <definedName name="BALMSB_B45802_02">#REF!</definedName>
    <definedName name="BALMSB_B45803_02">#REF!</definedName>
    <definedName name="BALMSB_B45804_02">#REF!</definedName>
    <definedName name="BALMSB_B45805_01">#REF!</definedName>
    <definedName name="BALMSB_B45805_02">#REF!</definedName>
    <definedName name="BALMSB_B45806_01">#REF!</definedName>
    <definedName name="BALMSB_B45806_02">#REF!</definedName>
    <definedName name="BALMSB_B45807_01">#REF!</definedName>
    <definedName name="BALMSB_B45809_01">#REF!</definedName>
    <definedName name="BALMSB_B45809_02">#REF!</definedName>
    <definedName name="BALMSB_B45810_01">#REF!</definedName>
    <definedName name="BALMSB_B45810_02">#REF!</definedName>
    <definedName name="BALMSB_B45811_01">#REF!</definedName>
    <definedName name="BALMSB_B45811_02">#REF!</definedName>
    <definedName name="BALMSB_B45812_01">#REF!</definedName>
    <definedName name="BALMSB_B45812_02">#REF!</definedName>
    <definedName name="BALMSB_B45813_01">#REF!</definedName>
    <definedName name="BALMSB_B45813_02">#REF!</definedName>
    <definedName name="BALMSB_B45816_01">#REF!</definedName>
    <definedName name="BALMSB_B45816_02">#REF!</definedName>
    <definedName name="BALMSB_B45818_01">#REF!</definedName>
    <definedName name="BALMSB_B46002_01">#REF!</definedName>
    <definedName name="BALMSB_B46002_02">#REF!</definedName>
    <definedName name="BALMSB_B46003_01">#REF!</definedName>
    <definedName name="BALMSB_B46003_02">#REF!</definedName>
    <definedName name="BALMSB_B46004_01">#REF!</definedName>
    <definedName name="BALMSB_B46004_02">#REF!</definedName>
    <definedName name="BALMSB_B46005_01">#REF!</definedName>
    <definedName name="BALMSB_B46005_02">#REF!</definedName>
    <definedName name="BALMSB_B46102_01">#REF!</definedName>
    <definedName name="BALMSB_B46102_02">#REF!</definedName>
    <definedName name="BALMSB_B46103_01">#REF!</definedName>
    <definedName name="BALMSB_B46103_02">#REF!</definedName>
    <definedName name="BALMSB_B46104_01">#REF!</definedName>
    <definedName name="BALMSB_B46104_02">#REF!</definedName>
    <definedName name="BALMSB_B46105_01">#REF!</definedName>
    <definedName name="BALMSB_B46105_02">#REF!</definedName>
    <definedName name="BALMSB_B46202_01">#REF!</definedName>
    <definedName name="BALMSB_B46202_02">#REF!</definedName>
    <definedName name="BALMSB_B46203_01">#REF!</definedName>
    <definedName name="BALMSB_B46203_02">#REF!</definedName>
    <definedName name="BALMSB_B46204_01">#REF!</definedName>
    <definedName name="BALMSB_B46204_02">#REF!</definedName>
    <definedName name="BALMSB_B46205_01">#REF!</definedName>
    <definedName name="BALMSB_B46205_02">#REF!</definedName>
    <definedName name="BALMSB_B46302_01">#REF!</definedName>
    <definedName name="BALMSB_B46302_02">#REF!</definedName>
    <definedName name="BALMSB_B46303_01">#REF!</definedName>
    <definedName name="BALMSB_B46303_02">#REF!</definedName>
    <definedName name="BALMSB_B46304_01">#REF!</definedName>
    <definedName name="BALMSB_B46304_02">#REF!</definedName>
    <definedName name="BALMSB_B46305_01">#REF!</definedName>
    <definedName name="BALMSB_B46305_02">#REF!</definedName>
    <definedName name="BALMSB_B46402_01">#REF!</definedName>
    <definedName name="BALMSB_B46402_02">#REF!</definedName>
    <definedName name="BALMSB_B46403_01">#REF!</definedName>
    <definedName name="BALMSB_B46403_02">#REF!</definedName>
    <definedName name="BALMSB_B46404_01">#REF!</definedName>
    <definedName name="BALMSB_B46404_02">#REF!</definedName>
    <definedName name="BALMSB_B46405_01">#REF!</definedName>
    <definedName name="BALMSB_B46405_02">#REF!</definedName>
    <definedName name="BALMSB_B46502_01">#REF!</definedName>
    <definedName name="BALMSB_B46502_02">#REF!</definedName>
    <definedName name="BALMSB_B46503_01">#REF!</definedName>
    <definedName name="BALMSB_B46503_02">#REF!</definedName>
    <definedName name="BALMSB_B46504_01">#REF!</definedName>
    <definedName name="BALMSB_B46504_02">#REF!</definedName>
    <definedName name="BALMSB_B46505_01">#REF!</definedName>
    <definedName name="BALMSB_B46505_02">#REF!</definedName>
    <definedName name="BALMSB_B46602_01">#REF!</definedName>
    <definedName name="BALMSB_B46602_02">#REF!</definedName>
    <definedName name="BALMSB_B46603_01">#REF!</definedName>
    <definedName name="BALMSB_B46604_02">#REF!</definedName>
    <definedName name="BALMSB_B46605_01">#REF!</definedName>
    <definedName name="BALMSB_B46605_02">#REF!</definedName>
    <definedName name="BALMSB_B46702_01">#REF!</definedName>
    <definedName name="BALMSB_B46702_02">#REF!</definedName>
    <definedName name="BALMSB_B46703_01">#REF!</definedName>
    <definedName name="BALMSB_B46703_02">#REF!</definedName>
    <definedName name="BALMSB_B46704_01">#REF!</definedName>
    <definedName name="BALMSB_B46704_02">#REF!</definedName>
    <definedName name="BALMSB_B46705_01">#REF!</definedName>
    <definedName name="BALMSB_B46705_02">#REF!</definedName>
    <definedName name="BALMSB_B46802_01">#REF!</definedName>
    <definedName name="BALMSB_B46802_02">#REF!</definedName>
    <definedName name="BALMSB_B46803_01">#REF!</definedName>
    <definedName name="BALMSB_B46803_02">#REF!</definedName>
    <definedName name="BALMSB_B46804_01">#REF!</definedName>
    <definedName name="BALMSB_B46804_02">#REF!</definedName>
    <definedName name="BALMSB_B46805_01">#REF!</definedName>
    <definedName name="BALMSB_B46805_02">#REF!</definedName>
    <definedName name="BALMSB_B46902_01">#REF!</definedName>
    <definedName name="BALMSB_B46902_02">#REF!</definedName>
    <definedName name="BALMSB_B46903_01">#REF!</definedName>
    <definedName name="BALMSB_B46903_02">#REF!</definedName>
    <definedName name="BALMSB_B46904_01">#REF!</definedName>
    <definedName name="BALMSB_B46904_02">#REF!</definedName>
    <definedName name="BALMSB_B46905_01">#REF!</definedName>
    <definedName name="BALMSB_B46905_02">#REF!</definedName>
    <definedName name="BALMSB_B47002_01">#REF!</definedName>
    <definedName name="BALMSB_B47002_02">#REF!</definedName>
    <definedName name="BALMSB_B47003_01">#REF!</definedName>
    <definedName name="BALMSB_B47003_02">#REF!</definedName>
    <definedName name="BALMSB_B47004_01">#REF!</definedName>
    <definedName name="BALMSB_B47004_02">#REF!</definedName>
    <definedName name="BALMSB_B47005_01">#REF!</definedName>
    <definedName name="BALMSB_B47005_02">#REF!</definedName>
    <definedName name="BALMSB_B47102_01">#REF!</definedName>
    <definedName name="BALMSB_B47102_02">#REF!</definedName>
    <definedName name="BALMSB_B47103_01">#REF!</definedName>
    <definedName name="BALMSB_B47103_02">#REF!</definedName>
    <definedName name="BALMSB_B47104_01">#REF!</definedName>
    <definedName name="BALMSB_B47104_02">#REF!</definedName>
    <definedName name="BALMSB_B47105_01">#REF!</definedName>
    <definedName name="BALMSB_B47105_02">#REF!</definedName>
    <definedName name="BALMSB_B47202_01">#REF!</definedName>
    <definedName name="BALMSB_B47202_02">#REF!</definedName>
    <definedName name="BALMSB_B47203_01">#REF!</definedName>
    <definedName name="BALMSB_B47203_02">#REF!</definedName>
    <definedName name="BALMSB_B47204_01">#REF!</definedName>
    <definedName name="BALMSB_B47204_02">#REF!</definedName>
    <definedName name="BALMSB_B47205_01">#REF!</definedName>
    <definedName name="BALMSB_B47205_02">#REF!</definedName>
    <definedName name="BALMSB_B47302_01">#REF!</definedName>
    <definedName name="BALMSB_B47302_02">#REF!</definedName>
    <definedName name="BALMSB_B47303_01">#REF!</definedName>
    <definedName name="BALMSB_B47303_02">#REF!</definedName>
    <definedName name="BALMSB_B47304_01">#REF!</definedName>
    <definedName name="BALMSB_B47304_02">#REF!</definedName>
    <definedName name="BALMSB_B47305_01">#REF!</definedName>
    <definedName name="BALMSB_B47305_02">#REF!</definedName>
    <definedName name="BALMSB_B47308_01">#REF!</definedName>
    <definedName name="BALMSB_B47402_01">#REF!</definedName>
    <definedName name="BALMSB_B47402_02">#REF!</definedName>
    <definedName name="BALMSB_B47402_03">#REF!</definedName>
    <definedName name="BALMSB_B47402_04">#REF!</definedName>
    <definedName name="BALMSB_B47423_17">#REF!</definedName>
    <definedName name="BALMSB_B47423_18">#REF!</definedName>
    <definedName name="BALMSB_B47423_22">#REF!</definedName>
    <definedName name="BALMSB_B47423_23">#REF!</definedName>
    <definedName name="BALMSB_B47423_99">#REF!</definedName>
    <definedName name="BALMSB_B47425_01">#REF!</definedName>
    <definedName name="BALMSB_B47425_05">#REF!</definedName>
    <definedName name="BALMSB_B47425_09">#REF!</definedName>
    <definedName name="BALMSB_B47425_16">#REF!</definedName>
    <definedName name="BALMSB_B47425_18">#REF!</definedName>
    <definedName name="BALMSB_B50505_01">#REF!</definedName>
    <definedName name="BALMSB_B50505_02">#REF!</definedName>
    <definedName name="BALMSB_B50505_03">#REF!</definedName>
    <definedName name="BALMSB_B50505_04">#REF!</definedName>
    <definedName name="BALMSB_B50505_05">#REF!</definedName>
    <definedName name="BALMSB_B50505_06">#REF!</definedName>
    <definedName name="BALMSB_B50505_07">#REF!</definedName>
    <definedName name="BALMSB_B50507_01">#REF!</definedName>
    <definedName name="BALMSB_B50507_02">#REF!</definedName>
    <definedName name="BALMSB_B50507_03">#REF!</definedName>
    <definedName name="BALMSB_B50507_04">#REF!</definedName>
    <definedName name="BALMSB_B50507_05">#REF!</definedName>
    <definedName name="BALMSB_B50507_06">#REF!</definedName>
    <definedName name="BALMSB_B50507_07">#REF!</definedName>
    <definedName name="BALMSB_B50507_08">#REF!</definedName>
    <definedName name="BALMSB_B50507_09">#REF!</definedName>
    <definedName name="BALMSB_B50507_10">#REF!</definedName>
    <definedName name="BALMSB_B50719_01">#REF!</definedName>
    <definedName name="BALMSB_B50719_02">#REF!</definedName>
    <definedName name="BALMSB_B50719_03">#REF!</definedName>
    <definedName name="BALMSB_B50719_04">#REF!</definedName>
    <definedName name="BALMSB_B51209_01">#REF!</definedName>
    <definedName name="BALMSB_B51308_01">#REF!</definedName>
    <definedName name="BALMSB_B51309_01">#REF!</definedName>
    <definedName name="BALMSB_B51408_01">#REF!</definedName>
    <definedName name="BALMSB_B51409_01">#REF!</definedName>
    <definedName name="BALMSB_B51508_01">#REF!</definedName>
    <definedName name="BALMSB_B51509_01">#REF!</definedName>
    <definedName name="BALMSB_B51608_01">#REF!</definedName>
    <definedName name="BALMSB_B51609_01">#REF!</definedName>
    <definedName name="BALMSB_B51610_01">#REF!</definedName>
    <definedName name="BALMSB_B51708_01">#REF!</definedName>
    <definedName name="BALMSB_B51709_01">#REF!</definedName>
    <definedName name="BALMSB_B51710_01">#REF!</definedName>
    <definedName name="BALMSB_B51808_01">#REF!</definedName>
    <definedName name="BALMSB_B51809_01">#REF!</definedName>
    <definedName name="BALMSB_B51810_01">#REF!</definedName>
    <definedName name="BALMSB_B51908_01">#REF!</definedName>
    <definedName name="BALMSB_B51909_01">#REF!</definedName>
    <definedName name="BALMSB_B51910_01">#REF!</definedName>
    <definedName name="BALMSB_B60206_01">#REF!</definedName>
    <definedName name="BALMSB_B60206_02">#REF!</definedName>
    <definedName name="BALMSB_B60308_03">#REF!</definedName>
    <definedName name="BALMSB_B60323_09">#REF!</definedName>
    <definedName name="BALMSB_B60323_10">#REF!</definedName>
    <definedName name="BALMSB_B60323_13">#REF!</definedName>
    <definedName name="BALMSB_B60323_99">#REF!</definedName>
    <definedName name="BALMSB_B60324_01">#REF!</definedName>
    <definedName name="BALMSB_B60324_02">#REF!</definedName>
    <definedName name="BANK_BUY">#REF!</definedName>
    <definedName name="Bank_Loan1_Limit_copy">#REF!</definedName>
    <definedName name="Bank_Loan1_Limit_paste">#REF!</definedName>
    <definedName name="Bank_Loan2_Limit_copy">#NAME?</definedName>
    <definedName name="Bank_Loan2_Limit_paste">#NAME?</definedName>
    <definedName name="BANK_NAME" localSheetId="2">#REF!</definedName>
    <definedName name="BANK_NAME">#REF!</definedName>
    <definedName name="BANK_SALE" localSheetId="2">#REF!</definedName>
    <definedName name="BANK_SALE">#REF!</definedName>
    <definedName name="banks_portfolio" localSheetId="2">#REF!</definedName>
    <definedName name="banks_portfolio">#REF!</definedName>
    <definedName name="barnaul" localSheetId="2">#REF!</definedName>
    <definedName name="barnaul">#REF!</definedName>
    <definedName name="bb" localSheetId="2" hidden="1">{#N/A,#N/A,FALSE,"Aging Summary";#N/A,#N/A,FALSE,"Ratio Analysis";#N/A,#N/A,FALSE,"Test 120 Day Accts";#N/A,#N/A,FALSE,"Tickmarks"}</definedName>
    <definedName name="bb" hidden="1">{#N/A,#N/A,FALSE,"Aging Summary";#N/A,#N/A,FALSE,"Ratio Analysis";#N/A,#N/A,FALSE,"Test 120 Day Accts";#N/A,#N/A,FALSE,"Tickmarks"}</definedName>
    <definedName name="bbb">{#N/A,#N/A,FALSE,"Лист15"}</definedName>
    <definedName name="bbbbb" localSheetId="2" hidden="1">{#VALUE!,#N/A,TRUE,0}</definedName>
    <definedName name="bbbbb" hidden="1">{#VALUE!,#N/A,TRUE,0}</definedName>
    <definedName name="ｂｂｂｂｂｂｂｂｂｂ" localSheetId="2" hidden="1">{"COMNUS2000",#N/A,FALSE,"BL2000"}</definedName>
    <definedName name="ｂｂｂｂｂｂｂｂｂｂ" hidden="1">{"COMNUS2000",#N/A,FALSE,"BL2000"}</definedName>
    <definedName name="bbd" hidden="1">#REF!</definedName>
    <definedName name="BegInv1Q">#NAME?</definedName>
    <definedName name="BegInv2Q">#NAME?</definedName>
    <definedName name="BegInv3Q">#NAME?</definedName>
    <definedName name="BegInv4Q">#NAME?</definedName>
    <definedName name="BEP_Q_NEW" localSheetId="2" hidden="1">{"'РП (2)'!$A$5:$S$150"}</definedName>
    <definedName name="BEP_Q_NEW" hidden="1">{"'РП (2)'!$A$5:$S$150"}</definedName>
    <definedName name="BEx3O85IKWARA6NCJOLRBRJFMEWW" hidden="1">#NAME?</definedName>
    <definedName name="BEx5MLQZM68YQSKARVWTTPINFQ2C" hidden="1">#NAME?</definedName>
    <definedName name="BExERWCEBKQRYWRQLYJ4UCMMKTHG" hidden="1">#NAME?</definedName>
    <definedName name="BExMBYPQDG9AYDQ5E8IECVFREPO6" hidden="1">#NAME?</definedName>
    <definedName name="BExQ9ZLYHWABXAA9NJDW8ZS0UQ9P" hidden="1">#NAME?</definedName>
    <definedName name="BExTUY9WNSJ91GV8CP0SKJTEIV82" hidden="1">#NAME?</definedName>
    <definedName name="BG_Del" hidden="1">15</definedName>
    <definedName name="BG_Ins" hidden="1">4</definedName>
    <definedName name="BG_Mod" hidden="1">6</definedName>
    <definedName name="BHF">{"'CVB-Zinssatz Akt'!$A$2:$M$10","'CVB Ist'!$C$35:$O$37"}</definedName>
    <definedName name="BHFX">{"'CVB-Zinssatz Akt'!$A$2:$M$10","'CVB Ist'!$C$35:$O$37"}</definedName>
    <definedName name="BigTable">#REF!</definedName>
    <definedName name="BigTable3">#REF!</definedName>
    <definedName name="BJW" localSheetId="2" hidden="1">{#N/A,#N/A,FALSE,"Cover";#N/A,#N/A,FALSE,"Profits";#N/A,#N/A,FALSE,"ABS";#N/A,#N/A,FALSE,"TFLE Detail";#N/A,#N/A,FALSE,"TFLE Walk";#N/A,#N/A,FALSE,"Variable Cost";#N/A,#N/A,FALSE,"V.C. Walk"}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lank" localSheetId="2" hidden="1">{#N/A,#N/A,FALSE,"Год 99."}</definedName>
    <definedName name="blank" hidden="1">{#N/A,#N/A,FALSE,"Год 99."}</definedName>
    <definedName name="blb" localSheetId="2" hidden="1">{"det (May)",#N/A,FALSE,"June";"sum (MAY YTD)",#N/A,FALSE,"June YTD"}</definedName>
    <definedName name="blb">#REF!</definedName>
    <definedName name="bln_rub" localSheetId="2">#REF!</definedName>
    <definedName name="bln_rub">#REF!</definedName>
    <definedName name="bloomberg" localSheetId="2" hidden="1">{"glc1",#N/A,FALSE,"GLC";"glc2",#N/A,FALSE,"GLC";"glc3",#N/A,FALSE,"GLC";"glc4",#N/A,FALSE,"GLC";"glc5",#N/A,FALSE,"GLC"}</definedName>
    <definedName name="bloomberg" hidden="1">{"glc1",#N/A,FALSE,"GLC";"glc2",#N/A,FALSE,"GLC";"glc3",#N/A,FALSE,"GLC";"glc4",#N/A,FALSE,"GLC";"glc5",#N/A,FALSE,"GLC"}</definedName>
    <definedName name="BLPH1" hidden="1">#NAME?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#NAME?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4" hidden="1">#NAME?</definedName>
    <definedName name="BLPH15" hidden="1">#NAME?</definedName>
    <definedName name="BLPH16" hidden="1">#NAME?</definedName>
    <definedName name="BLPH17" hidden="1">#NAME?</definedName>
    <definedName name="BLPH18" hidden="1">#NAME?</definedName>
    <definedName name="BLPH19" hidden="1">#REF!</definedName>
    <definedName name="BLPH2" hidden="1">#NAME?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#NAME?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nn" localSheetId="2" hidden="1">{"mgmt forecast",#N/A,FALSE,"Mgmt Forecast";"dcf table",#N/A,FALSE,"Mgmt Forecast";"sensitivity",#N/A,FALSE,"Mgmt Forecast";"table inputs",#N/A,FALSE,"Mgmt Forecast";"calculations",#N/A,FALSE,"Mgmt Forecast"}</definedName>
    <definedName name="bnnn" hidden="1">{"mgmt forecast",#N/A,FALSE,"Mgmt Forecast";"dcf table",#N/A,FALSE,"Mgmt Forecast";"sensitivity",#N/A,FALSE,"Mgmt Forecast";"table inputs",#N/A,FALSE,"Mgmt Forecast";"calculations",#N/A,FALSE,"Mgmt Forecast"}</definedName>
    <definedName name="BOP_Y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BOP_Y" hidden="1">{"BOP_TAB",#N/A,FALSE,"N";"MIDTERM_TAB",#N/A,FALSE,"O";"FUND_CRED",#N/A,FALSE,"P";"DEBT_TAB1",#N/A,FALSE,"Q";"DEBT_TAB2",#N/A,FALSE,"Q";"FORFIN_TAB1",#N/A,FALSE,"R";"FORFIN_TAB2",#N/A,FALSE,"R";"BOP_ANALY",#N/A,FALSE,"U"}</definedName>
    <definedName name="BORG" localSheetId="2">#REF!</definedName>
    <definedName name="BORG">#REF!</definedName>
    <definedName name="BORG_TOT" localSheetId="2">#REF!</definedName>
    <definedName name="BORG_TOT">#REF!</definedName>
    <definedName name="bp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bp" hidden="1">{"BOP_TAB",#N/A,FALSE,"N";"MIDTERM_TAB",#N/A,FALSE,"O";"FUND_CRED",#N/A,FALSE,"P";"DEBT_TAB1",#N/A,FALSE,"Q";"DEBT_TAB2",#N/A,FALSE,"Q";"FORFIN_TAB1",#N/A,FALSE,"R";"FORFIN_TAB2",#N/A,FALSE,"R";"BOP_ANALY",#N/A,FALSE,"U"}</definedName>
    <definedName name="BP_flag" localSheetId="2">#REF!</definedName>
    <definedName name="BP_flag">#REF!</definedName>
    <definedName name="bryansk" localSheetId="2">#REF!</definedName>
    <definedName name="bryansk">#REF!</definedName>
    <definedName name="BSCheck1Q">#NAME?</definedName>
    <definedName name="BSCheck2Q">#NAME?</definedName>
    <definedName name="BSCheck3Q">#NAME?</definedName>
    <definedName name="BSCheck4Q">#NAME?</definedName>
    <definedName name="BSCheckX4">#NAME?</definedName>
    <definedName name="BUD">#REF!</definedName>
    <definedName name="BUY_DB1" localSheetId="2">#REF!</definedName>
    <definedName name="BUY_DB1">#REF!</definedName>
    <definedName name="BUY_DB10" localSheetId="2">#REF!</definedName>
    <definedName name="BUY_DB10">#REF!</definedName>
    <definedName name="BUY_DB11">#REF!</definedName>
    <definedName name="BUY_DB12">#REF!</definedName>
    <definedName name="BUY_DB13">#REF!</definedName>
    <definedName name="BUY_DB14">#REF!</definedName>
    <definedName name="BUY_DB15">#REF!</definedName>
    <definedName name="BUY_DB16">#REF!</definedName>
    <definedName name="BUY_DB17">#REF!</definedName>
    <definedName name="BUY_DB18">#REF!</definedName>
    <definedName name="BUY_DB19">#REF!</definedName>
    <definedName name="BUY_DB2">#REF!</definedName>
    <definedName name="BUY_DB20">#REF!</definedName>
    <definedName name="BUY_DB21">#REF!</definedName>
    <definedName name="BUY_DB22">#REF!</definedName>
    <definedName name="BUY_DB23">#REF!</definedName>
    <definedName name="BUY_DB24">#REF!</definedName>
    <definedName name="BUY_DB25">#REF!</definedName>
    <definedName name="BUY_DB26">#REF!</definedName>
    <definedName name="BUY_DB27">#REF!</definedName>
    <definedName name="BUY_DB28">#REF!</definedName>
    <definedName name="BUY_DB29">#REF!</definedName>
    <definedName name="BUY_DB3">#REF!</definedName>
    <definedName name="BUY_DB30">#REF!</definedName>
    <definedName name="BUY_DB31">#REF!</definedName>
    <definedName name="BUY_DB4">#REF!</definedName>
    <definedName name="BUY_DB5">#REF!</definedName>
    <definedName name="BUY_DB6">#REF!</definedName>
    <definedName name="BUY_DB7">#REF!</definedName>
    <definedName name="BUY_DB8">#REF!</definedName>
    <definedName name="BUY_DB9">#REF!</definedName>
    <definedName name="BUY_TOTAL">#REF!</definedName>
    <definedName name="bvgb" localSheetId="2" hidden="1">{#N/A,#N/A,TRUE,"Буржуям"}</definedName>
    <definedName name="bvgb" hidden="1">{#N/A,#N/A,TRUE,"Буржуям"}</definedName>
    <definedName name="bvgb1" localSheetId="2" hidden="1">{#N/A,#N/A,TRUE,"Буржуям"}</definedName>
    <definedName name="bvgb1" hidden="1">{#N/A,#N/A,TRUE,"Буржуям"}</definedName>
    <definedName name="bwii" localSheetId="2" hidden="1">{#N/A,#N/A,FALSE,"magsep2";#N/A,#N/A,FALSE,"¾"" X ½""";#N/A,#N/A,FALSE,"½"" X ¼""";#N/A,#N/A,FALSE,"¼"" X 8 Mesh";#N/A,#N/A,FALSE,"8 X 14 Mesh"}</definedName>
    <definedName name="bwii" hidden="1">{#N/A,#N/A,FALSE,"magsep2";#N/A,#N/A,FALSE,"¾"" X ½""";#N/A,#N/A,FALSE,"½"" X ¼""";#N/A,#N/A,FALSE,"¼"" X 8 Mesh";#N/A,#N/A,FALSE,"8 X 14 Mesh"}</definedName>
    <definedName name="c_NAME" hidden="1">#NAME?</definedName>
    <definedName name="c_PROD_NAME" hidden="1">#NAME?</definedName>
    <definedName name="ca">{"'CVB-Zinssatz Akt'!$A$2:$M$10","'CVB Ist'!$C$35:$O$37"}</definedName>
    <definedName name="CA_Obj">#REF!</definedName>
    <definedName name="Cancel" localSheetId="2">#REF!</definedName>
    <definedName name="Cancel">#REF!</definedName>
    <definedName name="capex">#NAME?</definedName>
    <definedName name="CAPEX_data_initial">#REF!</definedName>
    <definedName name="CAPEX_Defl">#NAME?</definedName>
    <definedName name="CAPEX_Regular">#REF!</definedName>
    <definedName name="CAPEXPct1Q">#NAME?</definedName>
    <definedName name="CAPEXPct2Q">#NAME?</definedName>
    <definedName name="CAPEXPct3Q">#NAME?</definedName>
    <definedName name="CAPEXPct4Q">#NAME?</definedName>
    <definedName name="Car">#REF!</definedName>
    <definedName name="carlos">{#N/A,"10% Success",FALSE,"Sales Forecast";#N/A,#N/A,FALSE,"Sheet2"}</definedName>
    <definedName name="carlos_1">{#N/A,"10% Success",FALSE,"Sales Forecast";#N/A,#N/A,FALSE,"Sheet2"}</definedName>
    <definedName name="carlos_2">{#N/A,"10% Success",FALSE,"Sales Forecast";#N/A,#N/A,FALSE,"Sheet2"}</definedName>
    <definedName name="casa" localSheetId="2">#REF!</definedName>
    <definedName name="casa">#REF!</definedName>
    <definedName name="CASHFLOW" localSheetId="2">#REF!</definedName>
    <definedName name="CASHFLOW">#REF!</definedName>
    <definedName name="CB_BUY" localSheetId="2">#REF!</definedName>
    <definedName name="CB_BUY">#REF!</definedName>
    <definedName name="CB_SALE">#REF!</definedName>
    <definedName name="CBWorkbookPriority" hidden="1">-1708578613</definedName>
    <definedName name="CBWorkbookPriority_1" hidden="1">-1708578613</definedName>
    <definedName name="cc" localSheetId="2">#REF!</definedName>
    <definedName name="cc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_od" localSheetId="2">#REF!</definedName>
    <definedName name="cc_od">#REF!</definedName>
    <definedName name="ccc" localSheetId="2" hidden="1">{#N/A,#N/A,FALSE,"activity"}</definedName>
    <definedName name="ccc" hidden="1">{#N/A,#N/A,FALSE,"activity"}</definedName>
    <definedName name="cccc" localSheetId="2" hidden="1">{"det (May)",#N/A,FALSE,"June";"sum (MAY YTD)",#N/A,FALSE,"June YTD"}</definedName>
    <definedName name="cccc">#REF!</definedName>
    <definedName name="CCNR">{"'CVB-Zinssatz Akt'!$A$2:$M$10","'CVB Ist'!$C$35:$O$37"}</definedName>
    <definedName name="CCY" localSheetId="2">#REF!</definedName>
    <definedName name="CCY">#REF!</definedName>
    <definedName name="cdrsez" localSheetId="2" hidden="1">{0,0}</definedName>
    <definedName name="cdrsez" hidden="1">{0,0}</definedName>
    <definedName name="cdrtxt" localSheetId="2" hidden="1">{0,0}</definedName>
    <definedName name="cdrtxt" hidden="1">{0,0}</definedName>
    <definedName name="central_rozdil" localSheetId="2" hidden="1">{#N/A,#N/A,FALSE,"Aging Summary";#N/A,#N/A,FALSE,"Ratio Analysis";#N/A,#N/A,FALSE,"Test 120 Day Accts";#N/A,#N/A,FALSE,"Tickmarks"}</definedName>
    <definedName name="central_rozdil" hidden="1">{#N/A,#N/A,FALSE,"Aging Summary";#N/A,#N/A,FALSE,"Ratio Analysis";#N/A,#N/A,FALSE,"Test 120 Day Accts";#N/A,#N/A,FALSE,"Tickmarks"}</definedName>
    <definedName name="cf" localSheetId="2" hidden="1">{#N/A,#N/A,FALSE,"Aging Summary";#N/A,#N/A,FALSE,"Ratio Analysis";#N/A,#N/A,FALSE,"Test 120 Day Accts";#N/A,#N/A,FALSE,"Tickmarks"}</definedName>
    <definedName name="cf" hidden="1">{#N/A,#N/A,FALSE,"Aging Summary";#N/A,#N/A,FALSE,"Ratio Analysis";#N/A,#N/A,FALSE,"Test 120 Day Accts";#N/A,#N/A,FALSE,"Tickmarks"}</definedName>
    <definedName name="CFCALCHEAD" localSheetId="2">#REF!</definedName>
    <definedName name="CFCALCHEAD">#REF!</definedName>
    <definedName name="CFCheck1Q">#NAME?</definedName>
    <definedName name="CFCheck2Q">#NAME?</definedName>
    <definedName name="CFCheck3Q">#NAME?</definedName>
    <definedName name="CFCheck4Q">#NAME?</definedName>
    <definedName name="CFCheckX4">#NAME?</definedName>
    <definedName name="cfg" localSheetId="2" hidden="1">{0,0}</definedName>
    <definedName name="cfg" hidden="1">{0,0}</definedName>
    <definedName name="CFHEADER" localSheetId="2">#REF!</definedName>
    <definedName name="CFHEADER">#REF!</definedName>
    <definedName name="cfhg" localSheetId="2" hidden="1">{"'Sheet1'!$A$1:$G$96","'Sheet1'!$A$1:$H$96"}</definedName>
    <definedName name="cfhg" hidden="1">{"'Sheet1'!$A$1:$G$96","'Sheet1'!$A$1:$H$96"}</definedName>
    <definedName name="cheb" localSheetId="2">#REF!</definedName>
    <definedName name="cheb">#REF!</definedName>
    <definedName name="check2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heck3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chel" localSheetId="2">#REF!</definedName>
    <definedName name="chel">#REF!</definedName>
    <definedName name="ChgNWC1Q">#NAME?</definedName>
    <definedName name="ChgNWC2Q">#NAME?</definedName>
    <definedName name="ChgNWC3Q">#NAME?</definedName>
    <definedName name="ChgNWC4Q">#NAME?</definedName>
    <definedName name="CIQWBGuid">"eb08f331-88c7-4db7-a08f-d8eea2e31ee3"</definedName>
    <definedName name="Cities">#REF!</definedName>
    <definedName name="Citiescorrect">#REF!</definedName>
    <definedName name="City">#REF!</definedName>
    <definedName name="cjkkkkkkk">{#N/A,#N/A,FALSE,"Распр Услуг без ген дир";#N/A,#N/A,FALSE,"распред без Ген дир";#N/A,#N/A,FALSE,"Бюджет МТК";#N/A,#N/A,FALSE,"Распр площадей";#N/A,#N/A,FALSE,"Распр СБ25";#N/A,#N/A,FALSE,"Распр ГХО24";#N/A,#N/A,FALSE,"Перс расхСБ";#N/A,#N/A,FALSE,"Перс расхГХО";#N/A,#N/A,FALSE,"Перс расх адм";#N/A,#N/A,FALSE,"распред";#N/A,#N/A,FALSE,"Распр Услуг";#N/A,#N/A,FALSE,"Распр Услуг с рук СБ"}</definedName>
    <definedName name="Cjkm" localSheetId="2" hidden="1">{"print95",#N/A,FALSE,"1995E.XLS";"print96",#N/A,FALSE,"1996E.XLS"}</definedName>
    <definedName name="Cjkm" hidden="1">{"print95",#N/A,FALSE,"1995E.XLS";"print96",#N/A,FALSE,"1996E.XLS"}</definedName>
    <definedName name="cl" localSheetId="2">#REF!</definedName>
    <definedName name="cl">#REF!</definedName>
    <definedName name="claudia">{#N/A,"70% Success",FALSE,"Sales Forecast";#N/A,#N/A,FALSE,"Sheet2"}</definedName>
    <definedName name="claudia_1">{#N/A,"70% Success",FALSE,"Sales Forecast";#N/A,#N/A,FALSE,"Sheet2"}</definedName>
    <definedName name="claudia_2">{#N/A,"70% Success",FALSE,"Sales Forecast";#N/A,#N/A,FALSE,"Sheet2"}</definedName>
    <definedName name="ClearBalans" localSheetId="2">#REF!</definedName>
    <definedName name="ClearBalans">#REF!</definedName>
    <definedName name="CLI_BUY" localSheetId="2">#REF!</definedName>
    <definedName name="CLI_BUY">#REF!</definedName>
    <definedName name="CLI_SALE" localSheetId="2">#REF!</definedName>
    <definedName name="CLI_SALE">#REF!</definedName>
    <definedName name="CloseBalans_07GAAPNGWСальдоКон" hidden="1">#NAME?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eff_Rounding">#NAME?</definedName>
    <definedName name="ColumnsToHide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com">#REF!</definedName>
    <definedName name="Comissioning_flag">#REF!</definedName>
    <definedName name="companyNames" localSheetId="2">OFFSET(#REF!,MATCH(#REF!,#REF!,0)-1,1,COUNTIF(#REF!,#REF!),1)</definedName>
    <definedName name="companyNames">OFFSET(#REF!,MATCH(#REF!,#REF!,0)-1,1,COUNTIF(#REF!,#REF!),1)</definedName>
    <definedName name="Cons_temp" localSheetId="2" hidden="1">{"Supporting Schedules",#N/A,FALSE,"Results"}</definedName>
    <definedName name="Cons_temp" hidden="1">{"Supporting Schedules",#N/A,FALSE,"Results"}</definedName>
    <definedName name="consumer_loans" localSheetId="2">#REF!</definedName>
    <definedName name="consumer_loans">#REF!</definedName>
    <definedName name="COPPY_RANGE">#REF!</definedName>
    <definedName name="COPY">#REF!</definedName>
    <definedName name="COPY_INTEREST">#REF!</definedName>
    <definedName name="COPY_RANGE">#REF!</definedName>
    <definedName name="Cor">{"'CVB-Zinssatz Akt'!$A$2:$M$10","'CVB Ist'!$C$35:$O$37"}</definedName>
    <definedName name="Costs">#NAME?</definedName>
    <definedName name="coucou" localSheetId="2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rse">#REF!</definedName>
    <definedName name="course2">#REF!</definedName>
    <definedName name="CRRA">#REF!</definedName>
    <definedName name="CRRB">#REF!</definedName>
    <definedName name="CRRC">#REF!</definedName>
    <definedName name="CRRD">#REF!</definedName>
    <definedName name="CRRE">#REF!</definedName>
    <definedName name="CRRF">#REF!</definedName>
    <definedName name="CRRG">#REF!</definedName>
    <definedName name="CRRH">#REF!</definedName>
    <definedName name="CRRI">#REF!</definedName>
    <definedName name="CRRS">#REF!</definedName>
    <definedName name="cu00.UserArea" hidden="1">#NAME?</definedName>
    <definedName name="Currency_C">#REF!</definedName>
    <definedName name="Currency_eng">#REF!</definedName>
    <definedName name="Currency_P">#REF!</definedName>
    <definedName name="Currency_rus">#REF!</definedName>
    <definedName name="currencychange">#REF!</definedName>
    <definedName name="CUSPassword" hidden="1">"MDL238GBWP678SDA16)E^CBC"</definedName>
    <definedName name="CustDetailEng">#REF!</definedName>
    <definedName name="CustDetailRus">#REF!</definedName>
    <definedName name="CustJobEng">#REF!</definedName>
    <definedName name="CustJobRus">#REF!</definedName>
    <definedName name="CustSumEng">#REF!</definedName>
    <definedName name="CustSumRus">#REF!</definedName>
    <definedName name="cvb">{"'Всего'!$A$1:$F$19"}</definedName>
    <definedName name="cvx">{#N/A,#N/A,FALSE,"Лист15"}</definedName>
    <definedName name="Cwvu.GREY_ALL." hidden="1">#NAME?</definedName>
    <definedName name="d" localSheetId="2">#REF!</definedName>
    <definedName name="D">#REF!</definedName>
    <definedName name="d_1">{#N/A,"70% Success",FALSE,"Sales Forecast";#N/A,#N/A,FALSE,"Sheet2"}</definedName>
    <definedName name="d_2">{#N/A,"70% Success",FALSE,"Sales Forecast";#N/A,#N/A,FALSE,"Sheet2"}</definedName>
    <definedName name="dasd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t" localSheetId="2">#REF!</definedName>
    <definedName name="dat">#REF!</definedName>
    <definedName name="Data" localSheetId="2">#REF!</definedName>
    <definedName name="Data">#REF!</definedName>
    <definedName name="Data." localSheetId="2">#REF!</definedName>
    <definedName name="Data.">#REF!</definedName>
    <definedName name="DATA_01" localSheetId="2" hidden="1">#REF!</definedName>
    <definedName name="DATA_01" hidden="1">#REF!</definedName>
    <definedName name="DATA_02" localSheetId="2" hidden="1">#REF!</definedName>
    <definedName name="DATA_02" hidden="1">#REF!</definedName>
    <definedName name="DATA_03" localSheetId="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1">#REF!</definedName>
    <definedName name="data_sheet">#REF!</definedName>
    <definedName name="data1_mes">#REF!</definedName>
    <definedName name="Date_deal">#REF!</definedName>
    <definedName name="day1_before">#REF!</definedName>
    <definedName name="day1_last">#REF!</definedName>
    <definedName name="DaysInSemester">#NAME?</definedName>
    <definedName name="DaysInYr">#NAME?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dfsd" hidden="1">#REF!</definedName>
    <definedName name="dd" localSheetId="2">#REF!</definedName>
    <definedName name="dd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d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d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dd" localSheetId="2" hidden="1">{"Summary",#N/A,FALSE,"Valuation Summary";"Financial Statements",#N/A,FALSE,"Results";"FCF",#N/A,FALSE,"Results"}</definedName>
    <definedName name="ddd" hidden="1">{"Summary",#N/A,FALSE,"Valuation Summary";"Financial Statements",#N/A,FALSE,"Results";"FCF",#N/A,FALSE,"Results"}</definedName>
    <definedName name="dddd" localSheetId="2" hidden="1">{#VALUE!,#N/A,TRUE,0}</definedName>
    <definedName name="dddd" hidden="1">{#VALUE!,#N/A,TRUE,0}</definedName>
    <definedName name="ddddd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ddddd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dddddd" hidden="1">#REF!</definedName>
    <definedName name="ddddddd" hidden="1">#REF!</definedName>
    <definedName name="ddddddddd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ddddddddd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ddddddddddd" hidden="1">#REF!</definedName>
    <definedName name="dddee" localSheetId="2" hidden="1">{#N/A,#N/A,FALSE,"Цех1";#N/A,#N/A,FALSE,"Цех5"}</definedName>
    <definedName name="dddee" hidden="1">{#N/A,#N/A,FALSE,"Цех1";#N/A,#N/A,FALSE,"Цех5"}</definedName>
    <definedName name="Debt_Schedule">#NAME?</definedName>
    <definedName name="dec" localSheetId="2">#REF!</definedName>
    <definedName name="dec">#REF!</definedName>
    <definedName name="del" localSheetId="2" hidden="1">{#N/A,#N/A,FALSE,"Summary";#N/A,#N/A,FALSE,"CF";#N/A,#N/A,FALSE,"P&amp;L";#N/A,#N/A,FALSE,"BS";#N/A,#N/A,FALSE,"Returns";#N/A,#N/A,FALSE,"Assumptions";#N/A,#N/A,FALSE,"Analysis"}</definedName>
    <definedName name="del" hidden="1">{#N/A,#N/A,FALSE,"Summary";#N/A,#N/A,FALSE,"CF";#N/A,#N/A,FALSE,"P&amp;L";#N/A,#N/A,FALSE,"BS";#N/A,#N/A,FALSE,"Returns";#N/A,#N/A,FALSE,"Assumptions";#N/A,#N/A,FALSE,"Analysis"}</definedName>
    <definedName name="deleteme1" localSheetId="2" hidden="1">{#N/A,#N/A,FALSE,"Summary";#N/A,#N/A,FALSE,"CF";#N/A,#N/A,FALSE,"P&amp;L";#N/A,#N/A,FALSE,"BS";#N/A,#N/A,FALSE,"Returns";#N/A,#N/A,FALSE,"Assumptions";#N/A,#N/A,FALSE,"Analysis"}</definedName>
    <definedName name="deleteme1" hidden="1">{#N/A,#N/A,FALSE,"Summary";#N/A,#N/A,FALSE,"CF";#N/A,#N/A,FALSE,"P&amp;L";#N/A,#N/A,FALSE,"BS";#N/A,#N/A,FALSE,"Returns";#N/A,#N/A,FALSE,"Assumptions";#N/A,#N/A,FALSE,"Analysis"}</definedName>
    <definedName name="deleteme3" localSheetId="2" hidden="1">{#N/A,#N/A,FALSE,"Summary";#N/A,#N/A,FALSE,"CF";#N/A,#N/A,FALSE,"P&amp;L";"summary",#N/A,FALSE,"Returns";#N/A,#N/A,FALSE,"BS";"summary",#N/A,FALSE,"Analysis";#N/A,#N/A,FALSE,"Assumptions"}</definedName>
    <definedName name="deleteme3" hidden="1">{#N/A,#N/A,FALSE,"Summary";#N/A,#N/A,FALSE,"CF";#N/A,#N/A,FALSE,"P&amp;L";"summary",#N/A,FALSE,"Returns";#N/A,#N/A,FALSE,"BS";"summary",#N/A,FALSE,"Analysis";#N/A,#N/A,FALSE,"Assumptions"}</definedName>
    <definedName name="DepName" localSheetId="2">#REF!</definedName>
    <definedName name="DepName">#REF!</definedName>
    <definedName name="DEPOSITS" localSheetId="2">#REF!</definedName>
    <definedName name="DEPOSITS">#REF!</definedName>
    <definedName name="Depr_Gr_Acc">#REF!</definedName>
    <definedName name="Depr_Gr_Tax">#REF!</definedName>
    <definedName name="DeprClose_НеАллокированные" hidden="1">#NAME?</definedName>
    <definedName name="DeprClose_ПроизвБезГрупп" hidden="1">#NAME?</definedName>
    <definedName name="DeprClose_ПроизвБиблиотека" hidden="1">#NAME?</definedName>
    <definedName name="DeprClose_ПроизвЗдания" hidden="1">#NAME?</definedName>
    <definedName name="DeprClose_ПроизвЗемля" hidden="1">#NAME?</definedName>
    <definedName name="DeprClose_ПроизвИнвентарь" hidden="1">#NAME?</definedName>
    <definedName name="DeprClose_ПроизвИнструмент" hidden="1">#NAME?</definedName>
    <definedName name="DeprClose_ПроизвМашВыч" hidden="1">#NAME?</definedName>
    <definedName name="DeprClose_ПроизвМашИзмер" hidden="1">#NAME?</definedName>
    <definedName name="DeprClose_ПроизвМашПроч" hidden="1">#NAME?</definedName>
    <definedName name="DeprClose_ПроизвМашРабоч" hidden="1">#NAME?</definedName>
    <definedName name="DeprClose_ПроизвМашСил" hidden="1">#NAME?</definedName>
    <definedName name="DeprClose_ПроизвНасаждения" hidden="1">#NAME?</definedName>
    <definedName name="DeprClose_ПроизвПередат" hidden="1">#NAME?</definedName>
    <definedName name="DeprClose_ПроизвПрочие" hidden="1">#NAME?</definedName>
    <definedName name="DeprClose_ПроизвСкот" hidden="1">#NAME?</definedName>
    <definedName name="DeprClose_ПроизвСооружения" hidden="1">#NAME?</definedName>
    <definedName name="DeprClose_ПроизвТранспорт" hidden="1">#NAME?</definedName>
    <definedName name="DeprClose_ПроизвУлучшЗемли" hidden="1">#NAME?</definedName>
    <definedName name="DeprClose_СоцБезГрупп" hidden="1">#NAME?</definedName>
    <definedName name="DeprClose_СоцБиблиотека" hidden="1">#NAME?</definedName>
    <definedName name="DeprClose_СоцЗдания" hidden="1">#NAME?</definedName>
    <definedName name="DeprClose_СоцЗемля" hidden="1">#NAME?</definedName>
    <definedName name="DeprClose_СоцИнвентарь" hidden="1">#NAME?</definedName>
    <definedName name="DeprClose_СоцИнструмент" hidden="1">#NAME?</definedName>
    <definedName name="DeprClose_СоцМашВыч" hidden="1">#NAME?</definedName>
    <definedName name="DeprClose_СоцМашИзмер" hidden="1">#NAME?</definedName>
    <definedName name="DeprClose_СоцМашПроч" hidden="1">#NAME?</definedName>
    <definedName name="DeprClose_СоцМашРабоч" hidden="1">#NAME?</definedName>
    <definedName name="DeprClose_СоцМашСил" hidden="1">#NAME?</definedName>
    <definedName name="DeprClose_СоцНасаждения" hidden="1">#NAME?</definedName>
    <definedName name="DeprClose_СоцПередат" hidden="1">#NAME?</definedName>
    <definedName name="DeprClose_СоцПрочие" hidden="1">#NAME?</definedName>
    <definedName name="DeprClose_СоцСкот" hidden="1">#NAME?</definedName>
    <definedName name="DeprClose_СоцСооружения" hidden="1">#NAME?</definedName>
    <definedName name="DeprClose_СоцТранспорт" hidden="1">#NAME?</definedName>
    <definedName name="DeprClose_СоцУлучшЗемли" hidden="1">#NAME?</definedName>
    <definedName name="Depreciation_НеАллокированные" hidden="1">#NAME?</definedName>
    <definedName name="Depreciation_ПроизвБезГрупп" hidden="1">#NAME?</definedName>
    <definedName name="Depreciation_ПроизвБиблиотека" hidden="1">#NAME?</definedName>
    <definedName name="Depreciation_ПроизвЗдания" hidden="1">#NAME?</definedName>
    <definedName name="Depreciation_ПроизвЗемля" hidden="1">#NAME?</definedName>
    <definedName name="Depreciation_ПроизвИнвентарь" hidden="1">#NAME?</definedName>
    <definedName name="Depreciation_ПроизвИнструмент" hidden="1">#NAME?</definedName>
    <definedName name="Depreciation_ПроизвМашВыч" hidden="1">#NAME?</definedName>
    <definedName name="Depreciation_ПроизвМашИзмер" hidden="1">#NAME?</definedName>
    <definedName name="Depreciation_ПроизвМашПроч" hidden="1">#NAME?</definedName>
    <definedName name="Depreciation_ПроизвМашРабоч" hidden="1">#NAME?</definedName>
    <definedName name="Depreciation_ПроизвМашСил" hidden="1">#NAME?</definedName>
    <definedName name="Depreciation_ПроизвНасаждения" hidden="1">#NAME?</definedName>
    <definedName name="Depreciation_ПроизвПередат" hidden="1">#NAME?</definedName>
    <definedName name="Depreciation_ПроизвПрочие" hidden="1">#NAME?</definedName>
    <definedName name="Depreciation_ПроизвСкот" hidden="1">#NAME?</definedName>
    <definedName name="Depreciation_ПроизвСооружения" hidden="1">#NAME?</definedName>
    <definedName name="Depreciation_ПроизвТранспорт" hidden="1">#NAME?</definedName>
    <definedName name="Depreciation_ПроизвУлучшЗемли" hidden="1">#NAME?</definedName>
    <definedName name="Depreciation_СоцБезГрупп" hidden="1">#NAME?</definedName>
    <definedName name="Depreciation_СоцБиблиотека" hidden="1">#NAME?</definedName>
    <definedName name="Depreciation_СоцЗдания" hidden="1">#NAME?</definedName>
    <definedName name="Depreciation_СоцЗемля" hidden="1">#NAME?</definedName>
    <definedName name="Depreciation_СоцИнвентарь" hidden="1">#NAME?</definedName>
    <definedName name="Depreciation_СоцИнструмент" hidden="1">#NAME?</definedName>
    <definedName name="Depreciation_СоцМашВыч" hidden="1">#NAME?</definedName>
    <definedName name="Depreciation_СоцМашИзмер" hidden="1">#NAME?</definedName>
    <definedName name="Depreciation_СоцМашПроч" hidden="1">#NAME?</definedName>
    <definedName name="Depreciation_СоцМашРабоч" hidden="1">#NAME?</definedName>
    <definedName name="Depreciation_СоцМашСил" hidden="1">#NAME?</definedName>
    <definedName name="Depreciation_СоцНасаждения" hidden="1">#NAME?</definedName>
    <definedName name="Depreciation_СоцПередат" hidden="1">#NAME?</definedName>
    <definedName name="Depreciation_СоцПрочие" hidden="1">#NAME?</definedName>
    <definedName name="Depreciation_СоцСкот" hidden="1">#NAME?</definedName>
    <definedName name="Depreciation_СоцСооружения" hidden="1">#NAME?</definedName>
    <definedName name="Depreciation_СоцТранспорт" hidden="1">#NAME?</definedName>
    <definedName name="Depreciation_СоцУлучшЗемли" hidden="1">#NAME?</definedName>
    <definedName name="DepreciationExpense_09GAAP" hidden="1">#NAME?</definedName>
    <definedName name="DeprOpen_НеАллокированные" hidden="1">#NAME?</definedName>
    <definedName name="DeprOpen_ПроизвБезГрупп" hidden="1">#NAME?</definedName>
    <definedName name="DeprOpen_ПроизвБиблиотека" hidden="1">#NAME?</definedName>
    <definedName name="DeprOpen_ПроизвЗдания" hidden="1">#NAME?</definedName>
    <definedName name="DeprOpen_ПроизвЗемля" hidden="1">#NAME?</definedName>
    <definedName name="DeprOpen_ПроизвИнвентарь" hidden="1">#NAME?</definedName>
    <definedName name="DeprOpen_ПроизвИнструмент" hidden="1">#NAME?</definedName>
    <definedName name="DeprOpen_ПроизвМашВыч" hidden="1">#NAME?</definedName>
    <definedName name="DeprOpen_ПроизвМашИзмер" hidden="1">#NAME?</definedName>
    <definedName name="DeprOpen_ПроизвМашПроч" hidden="1">#NAME?</definedName>
    <definedName name="DeprOpen_ПроизвМашРабоч" hidden="1">#NAME?</definedName>
    <definedName name="DeprOpen_ПроизвМашСил" hidden="1">#NAME?</definedName>
    <definedName name="DeprOpen_ПроизвНасаждения" hidden="1">#NAME?</definedName>
    <definedName name="DeprOpen_ПроизвПередат" hidden="1">#NAME?</definedName>
    <definedName name="DeprOpen_ПроизвПрочие" hidden="1">#NAME?</definedName>
    <definedName name="DeprOpen_ПроизвСкот" hidden="1">#NAME?</definedName>
    <definedName name="DeprOpen_ПроизвСооружения" hidden="1">#NAME?</definedName>
    <definedName name="DeprOpen_ПроизвТранспорт" hidden="1">#NAME?</definedName>
    <definedName name="DeprOpen_ПроизвУлучшЗемли" hidden="1">#NAME?</definedName>
    <definedName name="DeprOpen_СоцБезГрупп" hidden="1">#NAME?</definedName>
    <definedName name="DeprOpen_СоцБиблиотека" hidden="1">#NAME?</definedName>
    <definedName name="DeprOpen_СоцЗдания" hidden="1">#NAME?</definedName>
    <definedName name="DeprOpen_СоцЗемля" hidden="1">#NAME?</definedName>
    <definedName name="DeprOpen_СоцИнвентарь" hidden="1">#NAME?</definedName>
    <definedName name="DeprOpen_СоцИнструмент" hidden="1">#NAME?</definedName>
    <definedName name="DeprOpen_СоцМашВыч" hidden="1">#NAME?</definedName>
    <definedName name="DeprOpen_СоцМашИзмер" hidden="1">#NAME?</definedName>
    <definedName name="DeprOpen_СоцМашПроч" hidden="1">#NAME?</definedName>
    <definedName name="DeprOpen_СоцМашРабоч" hidden="1">#NAME?</definedName>
    <definedName name="DeprOpen_СоцМашСил" hidden="1">#NAME?</definedName>
    <definedName name="DeprOpen_СоцНасаждения" hidden="1">#NAME?</definedName>
    <definedName name="DeprOpen_СоцПередат" hidden="1">#NAME?</definedName>
    <definedName name="DeprOpen_СоцПрочие" hidden="1">#NAME?</definedName>
    <definedName name="DeprOpen_СоцСкот" hidden="1">#NAME?</definedName>
    <definedName name="DeprOpen_СоцСооружения" hidden="1">#NAME?</definedName>
    <definedName name="DeprOpen_СоцТранспорт" hidden="1">#NAME?</definedName>
    <definedName name="DeprOpen_СоцУлучшЗемли" hidden="1">#NAME?</definedName>
    <definedName name="Des" localSheetId="2">#REF!</definedName>
    <definedName name="Des">#REF!</definedName>
    <definedName name="DETAIL" localSheetId="2">#REF!</definedName>
    <definedName name="DETAIL">#REF!</definedName>
    <definedName name="DETAIL1" localSheetId="2">#REF!</definedName>
    <definedName name="DETAIL1">#REF!</definedName>
    <definedName name="DF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a" localSheetId="2" hidden="1">#REF!</definedName>
    <definedName name="dfa" hidden="1">#REF!</definedName>
    <definedName name="dfdfdf" localSheetId="2" hidden="1">{#N/A,#N/A,FALSE,"т02бд"}</definedName>
    <definedName name="dfdfdf" hidden="1">{#N/A,#N/A,FALSE,"т02бд"}</definedName>
    <definedName name="dfg" localSheetId="2" hidden="1">{#N/A,#N/A,FALSE,"Aging Summary";#N/A,#N/A,FALSE,"Ratio Analysis";#N/A,#N/A,FALSE,"Test 120 Day Accts";#N/A,#N/A,FALSE,"Tickmarks"}</definedName>
    <definedName name="dfg" hidden="1">{#N/A,#N/A,FALSE,"Aging Summary";#N/A,#N/A,FALSE,"Ratio Analysis";#N/A,#N/A,FALSE,"Test 120 Day Accts";#N/A,#N/A,FALSE,"Tickmarks"}</definedName>
    <definedName name="dfgh">#REF!</definedName>
    <definedName name="dfghjkl" localSheetId="2" hidden="1">{"Area1",#N/A,FALSE,"OREWACC";"Area2",#N/A,FALSE,"OREWACC"}</definedName>
    <definedName name="dfghjkl" hidden="1">{"Area1",#N/A,FALSE,"OREWACC";"Area2",#N/A,FALSE,"OREWACC"}</definedName>
    <definedName name="dgfhgf" localSheetId="2" hidden="1">{#N/A,#N/A,FALSE,"ORIX CSC"}</definedName>
    <definedName name="dgfhgf" hidden="1">{#N/A,#N/A,FALSE,"ORIX CSC"}</definedName>
    <definedName name="dghjkjkj" hidden="1">#REF!</definedName>
    <definedName name="dhgdh" localSheetId="2" hidden="1">{"mgmt forecast",#N/A,FALSE,"Mgmt Forecast";"dcf table",#N/A,FALSE,"Mgmt Forecast";"sensitivity",#N/A,FALSE,"Mgmt Forecast";"table inputs",#N/A,FALSE,"Mgmt Forecast";"calculations",#N/A,FALSE,"Mgmt Forecast"}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ifference_Distribution">#NAME?</definedName>
    <definedName name="Difference_DSCR">#NAME?</definedName>
    <definedName name="Difference_Fund_Req">#NAME?</definedName>
    <definedName name="Difference_Loans">#NAME?</definedName>
    <definedName name="Difference_neg_cash">#NAME?</definedName>
    <definedName name="Difference_Net_Assets">#NAME?</definedName>
    <definedName name="Difference_Property_tax">#NAME?</definedName>
    <definedName name="Difference_WC_Facility">#NAME?</definedName>
    <definedName name="Discl" localSheetId="2" hidden="1">{"Valuation_Common",#N/A,FALSE,"Valuation"}</definedName>
    <definedName name="Discl" hidden="1">{"Valuation_Common",#N/A,FALSE,"Valuation"}</definedName>
    <definedName name="discount">#REF!</definedName>
    <definedName name="Disposal_НеАллокированные" hidden="1">#NAME?</definedName>
    <definedName name="Disposal_ПроизвБезГрупп" hidden="1">#NAME?</definedName>
    <definedName name="Disposal_ПроизвБиблиотека" hidden="1">#NAME?</definedName>
    <definedName name="Disposal_ПроизвЗдания" hidden="1">#NAME?</definedName>
    <definedName name="Disposal_ПроизвЗемля" hidden="1">#NAME?</definedName>
    <definedName name="Disposal_ПроизвИнвентарь" hidden="1">#NAME?</definedName>
    <definedName name="Disposal_ПроизвИнструмент" hidden="1">#NAME?</definedName>
    <definedName name="Disposal_ПроизвМашВыч" hidden="1">#NAME?</definedName>
    <definedName name="Disposal_ПроизвМашИзмер" hidden="1">#NAME?</definedName>
    <definedName name="Disposal_ПроизвМашПроч" hidden="1">#NAME?</definedName>
    <definedName name="Disposal_ПроизвМашРабоч" hidden="1">#NAME?</definedName>
    <definedName name="Disposal_ПроизвМашСил" hidden="1">#NAME?</definedName>
    <definedName name="Disposal_ПроизвНасаждения" hidden="1">#NAME?</definedName>
    <definedName name="Disposal_ПроизвПередат" hidden="1">#NAME?</definedName>
    <definedName name="Disposal_ПроизвПрочие" hidden="1">#NAME?</definedName>
    <definedName name="Disposal_ПроизвСкот" hidden="1">#NAME?</definedName>
    <definedName name="Disposal_ПроизвСооружения" hidden="1">#NAME?</definedName>
    <definedName name="Disposal_ПроизвТранспорт" hidden="1">#NAME?</definedName>
    <definedName name="Disposal_ПроизвУлучшЗемли" hidden="1">#NAME?</definedName>
    <definedName name="Disposal_СоцБезГрупп" hidden="1">#NAME?</definedName>
    <definedName name="Disposal_СоцБиблиотека" hidden="1">#NAME?</definedName>
    <definedName name="Disposal_СоцЗдания" hidden="1">#NAME?</definedName>
    <definedName name="Disposal_СоцЗемля" hidden="1">#NAME?</definedName>
    <definedName name="Disposal_СоцИнвентарь" hidden="1">#NAME?</definedName>
    <definedName name="Disposal_СоцИнструмент" hidden="1">#NAME?</definedName>
    <definedName name="Disposal_СоцМашВыч" hidden="1">#NAME?</definedName>
    <definedName name="Disposal_СоцМашИзмер" hidden="1">#NAME?</definedName>
    <definedName name="Disposal_СоцМашПроч" hidden="1">#NAME?</definedName>
    <definedName name="Disposal_СоцМашРабоч" hidden="1">#NAME?</definedName>
    <definedName name="Disposal_СоцМашСил" hidden="1">#NAME?</definedName>
    <definedName name="Disposal_СоцНасаждения" hidden="1">#NAME?</definedName>
    <definedName name="Disposal_СоцПередат" hidden="1">#NAME?</definedName>
    <definedName name="Disposal_СоцПрочие" hidden="1">#NAME?</definedName>
    <definedName name="Disposal_СоцСкот" hidden="1">#NAME?</definedName>
    <definedName name="Disposal_СоцСооружения" hidden="1">#NAME?</definedName>
    <definedName name="Disposal_СоцТранспорт" hidden="1">#NAME?</definedName>
    <definedName name="Disposal_СоцУлучшЗемли" hidden="1">#NAME?</definedName>
    <definedName name="DisposalDepreciation_НеАллокированные" hidden="1">#NAME?</definedName>
    <definedName name="DisposalDepreciation_ПроизвБезГрупп" hidden="1">#NAME?</definedName>
    <definedName name="DisposalDepreciation_ПроизвБиблиотека" hidden="1">#NAME?</definedName>
    <definedName name="DisposalDepreciation_ПроизвЗдания" hidden="1">#NAME?</definedName>
    <definedName name="DisposalDepreciation_ПроизвЗемля" hidden="1">#NAME?</definedName>
    <definedName name="DisposalDepreciation_ПроизвИнвентарь" hidden="1">#NAME?</definedName>
    <definedName name="DisposalDepreciation_ПроизвИнструмент" hidden="1">#NAME?</definedName>
    <definedName name="DisposalDepreciation_ПроизвМашВыч" hidden="1">#NAME?</definedName>
    <definedName name="DisposalDepreciation_ПроизвМашИзмер" hidden="1">#NAME?</definedName>
    <definedName name="DisposalDepreciation_ПроизвМашПроч" hidden="1">#NAME?</definedName>
    <definedName name="DisposalDepreciation_ПроизвМашРабоч" hidden="1">#NAME?</definedName>
    <definedName name="DisposalDepreciation_ПроизвМашСил" hidden="1">#NAME?</definedName>
    <definedName name="DisposalDepreciation_ПроизвНасаждения" hidden="1">#NAME?</definedName>
    <definedName name="DisposalDepreciation_ПроизвПередат" hidden="1">#NAME?</definedName>
    <definedName name="DisposalDepreciation_ПроизвПрочие" hidden="1">#NAME?</definedName>
    <definedName name="DisposalDepreciation_ПроизвСкот" hidden="1">#NAME?</definedName>
    <definedName name="DisposalDepreciation_ПроизвСооружения" hidden="1">#NAME?</definedName>
    <definedName name="DisposalDepreciation_ПроизвТранспорт" hidden="1">#NAME?</definedName>
    <definedName name="DisposalDepreciation_ПроизвУлучшЗемли" hidden="1">#NAME?</definedName>
    <definedName name="DisposalDepreciation_СоцБезГрупп" hidden="1">#NAME?</definedName>
    <definedName name="DisposalDepreciation_СоцБиблиотека" hidden="1">#NAME?</definedName>
    <definedName name="DisposalDepreciation_СоцЗдания" hidden="1">#NAME?</definedName>
    <definedName name="DisposalDepreciation_СоцЗемля" hidden="1">#NAME?</definedName>
    <definedName name="DisposalDepreciation_СоцИнвентарь" hidden="1">#NAME?</definedName>
    <definedName name="DisposalDepreciation_СоцИнструмент" hidden="1">#NAME?</definedName>
    <definedName name="DisposalDepreciation_СоцМашВыч" hidden="1">#NAME?</definedName>
    <definedName name="DisposalDepreciation_СоцМашИзмер" hidden="1">#NAME?</definedName>
    <definedName name="DisposalDepreciation_СоцМашПроч" hidden="1">#NAME?</definedName>
    <definedName name="DisposalDepreciation_СоцМашРабоч" hidden="1">#NAME?</definedName>
    <definedName name="DisposalDepreciation_СоцМашСил" hidden="1">#NAME?</definedName>
    <definedName name="DisposalDepreciation_СоцНасаждения" hidden="1">#NAME?</definedName>
    <definedName name="DisposalDepreciation_СоцПередат" hidden="1">#NAME?</definedName>
    <definedName name="DisposalDepreciation_СоцПрочие" hidden="1">#NAME?</definedName>
    <definedName name="DisposalDepreciation_СоцСкот" hidden="1">#NAME?</definedName>
    <definedName name="DisposalDepreciation_СоцСооружения" hidden="1">#NAME?</definedName>
    <definedName name="DisposalDepreciation_СоцТранспорт" hidden="1">#NAME?</definedName>
    <definedName name="DisposalDepreciation_СоцУлучшЗемли" hidden="1">#NAME?</definedName>
    <definedName name="DisposalDepreciationReconstruction_НеАллокированные" hidden="1">#NAME?</definedName>
    <definedName name="DisposalDepreciationReconstruction_ПроизвБезГрупп" hidden="1">#NAME?</definedName>
    <definedName name="DisposalDepreciationReconstruction_ПроизвБиблиотека" hidden="1">#NAME?</definedName>
    <definedName name="DisposalDepreciationReconstruction_ПроизвЗдания" hidden="1">#NAME?</definedName>
    <definedName name="DisposalDepreciationReconstruction_ПроизвЗемля" hidden="1">#NAME?</definedName>
    <definedName name="DisposalDepreciationReconstruction_ПроизвИнвентарь" hidden="1">#NAME?</definedName>
    <definedName name="DisposalDepreciationReconstruction_ПроизвИнструмент" hidden="1">#NAME?</definedName>
    <definedName name="DisposalDepreciationReconstruction_ПроизвМашВыч" hidden="1">#NAME?</definedName>
    <definedName name="DisposalDepreciationReconstruction_ПроизвМашИзмер" hidden="1">#NAME?</definedName>
    <definedName name="DisposalDepreciationReconstruction_ПроизвМашПроч" hidden="1">#NAME?</definedName>
    <definedName name="DisposalDepreciationReconstruction_ПроизвМашРабоч" hidden="1">#NAME?</definedName>
    <definedName name="DisposalDepreciationReconstruction_ПроизвМашСил" hidden="1">#NAME?</definedName>
    <definedName name="DisposalDepreciationReconstruction_ПроизвНасаждения" hidden="1">#NAME?</definedName>
    <definedName name="DisposalDepreciationReconstruction_ПроизвПередат" hidden="1">#NAME?</definedName>
    <definedName name="DisposalDepreciationReconstruction_ПроизвПрочие" hidden="1">#NAME?</definedName>
    <definedName name="DisposalDepreciationReconstruction_ПроизвСкот" hidden="1">#NAME?</definedName>
    <definedName name="DisposalDepreciationReconstruction_ПроизвСооружения" hidden="1">#NAME?</definedName>
    <definedName name="DisposalDepreciationReconstruction_ПроизвТранспорт" hidden="1">#NAME?</definedName>
    <definedName name="DisposalDepreciationReconstruction_ПроизвУлучшЗемли" hidden="1">#NAME?</definedName>
    <definedName name="DisposalDepreciationReconstruction_СоцБезГрупп" hidden="1">#NAME?</definedName>
    <definedName name="DisposalDepreciationReconstruction_СоцБиблиотека" hidden="1">#NAME?</definedName>
    <definedName name="DisposalDepreciationReconstruction_СоцЗдания" hidden="1">#NAME?</definedName>
    <definedName name="DisposalDepreciationReconstruction_СоцЗемля" hidden="1">#NAME?</definedName>
    <definedName name="DisposalDepreciationReconstruction_СоцИнвентарь" hidden="1">#NAME?</definedName>
    <definedName name="DisposalDepreciationReconstruction_СоцИнструмент" hidden="1">#NAME?</definedName>
    <definedName name="DisposalDepreciationReconstruction_СоцМашВыч" hidden="1">#NAME?</definedName>
    <definedName name="DisposalDepreciationReconstruction_СоцМашИзмер" hidden="1">#NAME?</definedName>
    <definedName name="DisposalDepreciationReconstruction_СоцМашПроч" hidden="1">#NAME?</definedName>
    <definedName name="DisposalDepreciationReconstruction_СоцМашРабоч" hidden="1">#NAME?</definedName>
    <definedName name="DisposalDepreciationReconstruction_СоцМашСил" hidden="1">#NAME?</definedName>
    <definedName name="DisposalDepreciationReconstruction_СоцНасаждения" hidden="1">#NAME?</definedName>
    <definedName name="DisposalDepreciationReconstruction_СоцПередат" hidden="1">#NAME?</definedName>
    <definedName name="DisposalDepreciationReconstruction_СоцПрочие" hidden="1">#NAME?</definedName>
    <definedName name="DisposalDepreciationReconstruction_СоцСкот" hidden="1">#NAME?</definedName>
    <definedName name="DisposalDepreciationReconstruction_СоцСооружения" hidden="1">#NAME?</definedName>
    <definedName name="DisposalDepreciationReconstruction_СоцТранспорт" hidden="1">#NAME?</definedName>
    <definedName name="DisposalDepreciationReconstruction_СоцУлучшЗемли" hidden="1">#NAME?</definedName>
    <definedName name="DisposalReconstruction_НеАллокированные" hidden="1">#NAME?</definedName>
    <definedName name="DisposalReconstruction_ПроизвБезГрупп" hidden="1">#NAME?</definedName>
    <definedName name="DisposalReconstruction_ПроизвБиблиотека" hidden="1">#NAME?</definedName>
    <definedName name="DisposalReconstruction_ПроизвЗдания" hidden="1">#NAME?</definedName>
    <definedName name="DisposalReconstruction_ПроизвЗемля" hidden="1">#NAME?</definedName>
    <definedName name="DisposalReconstruction_ПроизвИнвентарь" hidden="1">#NAME?</definedName>
    <definedName name="DisposalReconstruction_ПроизвИнструмент" hidden="1">#NAME?</definedName>
    <definedName name="DisposalReconstruction_ПроизвМашВыч" hidden="1">#NAME?</definedName>
    <definedName name="DisposalReconstruction_ПроизвМашИзмер" hidden="1">#NAME?</definedName>
    <definedName name="DisposalReconstruction_ПроизвМашПроч" hidden="1">#NAME?</definedName>
    <definedName name="DisposalReconstruction_ПроизвМашРабоч" hidden="1">#NAME?</definedName>
    <definedName name="DisposalReconstruction_ПроизвМашСил" hidden="1">#NAME?</definedName>
    <definedName name="DisposalReconstruction_ПроизвНасаждения" hidden="1">#NAME?</definedName>
    <definedName name="DisposalReconstruction_ПроизвПередат" hidden="1">#NAME?</definedName>
    <definedName name="DisposalReconstruction_ПроизвПрочие" hidden="1">#NAME?</definedName>
    <definedName name="DisposalReconstruction_ПроизвСкот" hidden="1">#NAME?</definedName>
    <definedName name="DisposalReconstruction_ПроизвСооружения" hidden="1">#NAME?</definedName>
    <definedName name="DisposalReconstruction_ПроизвТранспорт" hidden="1">#NAME?</definedName>
    <definedName name="DisposalReconstruction_ПроизвУлучшЗемли" hidden="1">#NAME?</definedName>
    <definedName name="DisposalReconstruction_СоцБезГрупп" hidden="1">#NAME?</definedName>
    <definedName name="DisposalReconstruction_СоцБиблиотека" hidden="1">#NAME?</definedName>
    <definedName name="DisposalReconstruction_СоцЗдания" hidden="1">#NAME?</definedName>
    <definedName name="DisposalReconstruction_СоцЗемля" hidden="1">#NAME?</definedName>
    <definedName name="DisposalReconstruction_СоцИнвентарь" hidden="1">#NAME?</definedName>
    <definedName name="DisposalReconstruction_СоцИнструмент" hidden="1">#NAME?</definedName>
    <definedName name="DisposalReconstruction_СоцМашВыч" hidden="1">#NAME?</definedName>
    <definedName name="DisposalReconstruction_СоцМашИзмер" hidden="1">#NAME?</definedName>
    <definedName name="DisposalReconstruction_СоцМашПроч" hidden="1">#NAME?</definedName>
    <definedName name="DisposalReconstruction_СоцМашРабоч" hidden="1">#NAME?</definedName>
    <definedName name="DisposalReconstruction_СоцМашСил" hidden="1">#NAME?</definedName>
    <definedName name="DisposalReconstruction_СоцНасаждения" hidden="1">#NAME?</definedName>
    <definedName name="DisposalReconstruction_СоцПередат" hidden="1">#NAME?</definedName>
    <definedName name="DisposalReconstruction_СоцПрочие" hidden="1">#NAME?</definedName>
    <definedName name="DisposalReconstruction_СоцСкот" hidden="1">#NAME?</definedName>
    <definedName name="DisposalReconstruction_СоцСооружения" hidden="1">#NAME?</definedName>
    <definedName name="DisposalReconstruction_СоцТранспорт" hidden="1">#NAME?</definedName>
    <definedName name="DisposalReconstruction_СоцУлучшЗемли" hidden="1">#NAME?</definedName>
    <definedName name="DisposalTransfer_Капвложения" hidden="1">#NAME?</definedName>
    <definedName name="DisposalTransfer_НеАллокированные" hidden="1">#NAME?</definedName>
    <definedName name="DisposalTransfer_Оборудование" hidden="1">#NAME?</definedName>
    <definedName name="DisposalTransfer_ПроизвБезГрупп" hidden="1">#NAME?</definedName>
    <definedName name="DisposalTransfer_ПроизвБиблиотека" hidden="1">#NAME?</definedName>
    <definedName name="DisposalTransfer_ПроизвЗдания" hidden="1">#NAME?</definedName>
    <definedName name="DisposalTransfer_ПроизвЗемля" hidden="1">#NAME?</definedName>
    <definedName name="DisposalTransfer_ПроизвИнвентарь" hidden="1">#NAME?</definedName>
    <definedName name="DisposalTransfer_ПроизвИнструмент" hidden="1">#NAME?</definedName>
    <definedName name="DisposalTransfer_ПроизвМашВыч" hidden="1">#NAME?</definedName>
    <definedName name="DisposalTransfer_ПроизвМашИзмер" hidden="1">#NAME?</definedName>
    <definedName name="DisposalTransfer_ПроизвМашПроч" hidden="1">#NAME?</definedName>
    <definedName name="DisposalTransfer_ПроизвМашРабоч" hidden="1">#NAME?</definedName>
    <definedName name="DisposalTransfer_ПроизвМашСил" hidden="1">#NAME?</definedName>
    <definedName name="DisposalTransfer_ПроизвНасаждения" hidden="1">#NAME?</definedName>
    <definedName name="DisposalTransfer_ПроизвПередат" hidden="1">#NAME?</definedName>
    <definedName name="DisposalTransfer_ПроизвПрочие" hidden="1">#NAME?</definedName>
    <definedName name="DisposalTransfer_ПроизвСкот" hidden="1">#NAME?</definedName>
    <definedName name="DisposalTransfer_ПроизвСооружения" hidden="1">#NAME?</definedName>
    <definedName name="DisposalTransfer_ПроизвТранспорт" hidden="1">#NAME?</definedName>
    <definedName name="DisposalTransfer_ПроизвУлучшЗемли" hidden="1">#NAME?</definedName>
    <definedName name="DisposalTransfer_СоцБезГрупп" hidden="1">#NAME?</definedName>
    <definedName name="DisposalTransfer_СоцБиблиотека" hidden="1">#NAME?</definedName>
    <definedName name="DisposalTransfer_СоцЗдания" hidden="1">#NAME?</definedName>
    <definedName name="DisposalTransfer_СоцЗемля" hidden="1">#NAME?</definedName>
    <definedName name="DisposalTransfer_СоцИнвентарь" hidden="1">#NAME?</definedName>
    <definedName name="DisposalTransfer_СоцИнструмент" hidden="1">#NAME?</definedName>
    <definedName name="DisposalTransfer_СоцМашВыч" hidden="1">#NAME?</definedName>
    <definedName name="DisposalTransfer_СоцМашИзмер" hidden="1">#NAME?</definedName>
    <definedName name="DisposalTransfer_СоцМашПроч" hidden="1">#NAME?</definedName>
    <definedName name="DisposalTransfer_СоцМашРабоч" hidden="1">#NAME?</definedName>
    <definedName name="DisposalTransfer_СоцМашСил" hidden="1">#NAME?</definedName>
    <definedName name="DisposalTransfer_СоцНасаждения" hidden="1">#NAME?</definedName>
    <definedName name="DisposalTransfer_СоцПередат" hidden="1">#NAME?</definedName>
    <definedName name="DisposalTransfer_СоцПрочие" hidden="1">#NAME?</definedName>
    <definedName name="DisposalTransfer_СоцСкот" hidden="1">#NAME?</definedName>
    <definedName name="DisposalTransfer_СоцСооружения" hidden="1">#NAME?</definedName>
    <definedName name="DisposalTransfer_СоцТранспорт" hidden="1">#NAME?</definedName>
    <definedName name="DisposalTransfer_СоцУлучшЗемли" hidden="1">#NAME?</definedName>
    <definedName name="Dividend">#REF!</definedName>
    <definedName name="doc_title" localSheetId="2">#REF!</definedName>
    <definedName name="doc_title">#REF!</definedName>
    <definedName name="DocTit" localSheetId="2">#REF!</definedName>
    <definedName name="DocTit">#REF!</definedName>
    <definedName name="DocTitle">#REF!</definedName>
    <definedName name="DocTitle1">#REF!</definedName>
    <definedName name="DocTitleNext">#REF!</definedName>
    <definedName name="Doncaster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pReportInfo_CURRENCY" hidden="1">#NAME?</definedName>
    <definedName name="DopReportInfo_FONDNAME" hidden="1">#NAME?</definedName>
    <definedName name="DopReportInfo_IDFIRM" hidden="1">#NAME?</definedName>
    <definedName name="DopReportInfo_IDSTRUCTS" hidden="1">#NAME?</definedName>
    <definedName name="DopReportInfo_INFOUK" hidden="1">#NAME?</definedName>
    <definedName name="DopReportInfo_LICENCEUK" hidden="1">#NAME?</definedName>
    <definedName name="DopReportInfo_LICENSE" hidden="1">#NAME?</definedName>
    <definedName name="DopReportInfo_REPORTDATE" hidden="1">#NAME?</definedName>
    <definedName name="DopReportInfo_REPORTPREVDATE" hidden="1">#NAME?</definedName>
    <definedName name="Down_Payment">#REF!</definedName>
    <definedName name="dr_CodeNamedRange">#REF!</definedName>
    <definedName name="dr_CodeNamedRange1">#REF!</definedName>
    <definedName name="dsaf" localSheetId="2" hidden="1">{"mgmt forecast",#N/A,FALSE,"Mgmt Forecast";"dcf table",#N/A,FALSE,"Mgmt Forecast";"sensitivity",#N/A,FALSE,"Mgmt Forecast";"table inputs",#N/A,FALSE,"Mgmt Forecast";"calculations",#N/A,FALSE,"Mgmt Forecast"}</definedName>
    <definedName name="dsaf" hidden="1">{"mgmt forecast",#N/A,FALSE,"Mgmt Forecast";"dcf table",#N/A,FALSE,"Mgmt Forecast";"sensitivity",#N/A,FALSE,"Mgmt Forecast";"table inputs",#N/A,FALSE,"Mgmt Forecast";"calculations",#N/A,FALSE,"Mgmt Forecast"}</definedName>
    <definedName name="dsf" localSheetId="2" hidden="1">{"'РП (2)'!$A$5:$S$150"}</definedName>
    <definedName name="dsf" hidden="1">{"'РП (2)'!$A$5:$S$150"}</definedName>
    <definedName name="dsfd" localSheetId="2" hidden="1">{#N/A,#N/A,FALSE,"Aging Summary";#N/A,#N/A,FALSE,"Ratio Analysis";#N/A,#N/A,FALSE,"Test 120 Day Accts";#N/A,#N/A,FALSE,"Tickmarks"}</definedName>
    <definedName name="dsfd" hidden="1">{#N/A,#N/A,FALSE,"Aging Summary";#N/A,#N/A,FALSE,"Ratio Analysis";#N/A,#N/A,FALSE,"Test 120 Day Accts";#N/A,#N/A,FALSE,"Tickmarks"}</definedName>
    <definedName name="DTA01.02">{"'Всего'!$A$1:$F$19"}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é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é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.ad">#REF!</definedName>
    <definedName name="e_NDS_RATE" hidden="1">#NAME?</definedName>
    <definedName name="ee" localSheetId="2" hidden="1">{"IMRAK42x8x8",#N/A,TRUE,"IMRAK 1400 42U 800X800";"IMRAK32x6x6",#N/A,TRUE,"IMRAK 1400 32U 600x600";"IMRAK42x12x8",#N/A,TRUE,"IMRAK 1400 42U 1200x800";"IMRAK15x6x4",#N/A,TRUE,"IMRAK 400 15U FRONT SECTION"}</definedName>
    <definedName name="ee" hidden="1">{"IMRAK42x8x8",#N/A,TRUE,"IMRAK 1400 42U 800X800";"IMRAK32x6x6",#N/A,TRUE,"IMRAK 1400 32U 600x600";"IMRAK42x12x8",#N/A,TRUE,"IMRAK 1400 42U 1200x800";"IMRAK15x6x4",#N/A,TRUE,"IMRAK 400 15U FRONT SECTION"}</definedName>
    <definedName name="eee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e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ee" localSheetId="2" hidden="1">{"'РП (2)'!$A$5:$S$150"}</definedName>
    <definedName name="eeee" hidden="1">{"'РП (2)'!$A$5:$S$150"}</definedName>
    <definedName name="eeeee" localSheetId="2" hidden="1">{"'Sheet1'!$A$1:$X$25"}</definedName>
    <definedName name="eeeee" hidden="1">{"'Sheet1'!$A$1:$X$25"}</definedName>
    <definedName name="eeeeeeee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eeeeee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eeeeeeee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eeeeeeeeee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eeeeeeeeeeeeeeee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eeeeeeeeeeeeeee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ekat" localSheetId="2">#REF!</definedName>
    <definedName name="eka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lman" localSheetId="2" hidden="1">#REF!</definedName>
    <definedName name="elman" hidden="1">#REF!</definedName>
    <definedName name="EPR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P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quity_Schedule">#NAME?</definedName>
    <definedName name="EQUIV">#REF!</definedName>
    <definedName name="er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er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erase2" localSheetId="2" hidden="1">{#N/A,#N/A,FALSE,"Summary";#N/A,#N/A,FALSE,"CF";#N/A,#N/A,FALSE,"P&amp;L";#N/A,#N/A,FALSE,"BS";#N/A,#N/A,FALSE,"Returns";#N/A,#N/A,FALSE,"Assumptions";#N/A,#N/A,FALSE,"Analysis"}</definedName>
    <definedName name="erase2" hidden="1">{#N/A,#N/A,FALSE,"Summary";#N/A,#N/A,FALSE,"CF";#N/A,#N/A,FALSE,"P&amp;L";#N/A,#N/A,FALSE,"BS";#N/A,#N/A,FALSE,"Returns";#N/A,#N/A,FALSE,"Assumptions";#N/A,#N/A,FALSE,"Analysis"}</definedName>
    <definedName name="erase3" localSheetId="2" hidden="1">{#N/A,#N/A,FALSE,"Summary";#N/A,#N/A,FALSE,"CF";#N/A,#N/A,FALSE,"P&amp;L";"summary",#N/A,FALSE,"Returns";#N/A,#N/A,FALSE,"BS";"summary",#N/A,FALSE,"Analysis";#N/A,#N/A,FALSE,"Assumptions"}</definedName>
    <definedName name="erase3" hidden="1">{#N/A,#N/A,FALSE,"Summary";#N/A,#N/A,FALSE,"CF";#N/A,#N/A,FALSE,"P&amp;L";"summary",#N/A,FALSE,"Returns";#N/A,#N/A,FALSE,"BS";"summary",#N/A,FALSE,"Analysis";#N/A,#N/A,FALSE,"Assumptions"}</definedName>
    <definedName name="ere" localSheetId="2" hidden="1">{"orixcsc",#N/A,FALSE,"ORIX CSC";"orixcsc2",#N/A,FALSE,"ORIX CSC"}</definedName>
    <definedName name="ere" hidden="1">{"orixcsc",#N/A,FALSE,"ORIX CSC";"orixcsc2",#N/A,FALSE,"ORIX CSC"}</definedName>
    <definedName name="ergheag" localSheetId="2" hidden="1">{"glc1",#N/A,FALSE,"GLC";"glc2",#N/A,FALSE,"GLC";"glc3",#N/A,FALSE,"GLC";"glc4",#N/A,FALSE,"GLC";"glc5",#N/A,FALSE,"GLC"}</definedName>
    <definedName name="ergheag" hidden="1">{"glc1",#N/A,FALSE,"GLC";"glc2",#N/A,FALSE,"GLC";"glc3",#N/A,FALSE,"GLC";"glc4",#N/A,FALSE,"GLC";"glc5",#N/A,FALSE,"GLC"}</definedName>
    <definedName name="ErrMes" localSheetId="2">#REF!</definedName>
    <definedName name="ErrMes">#REF!</definedName>
    <definedName name="ert" localSheetId="2" hidden="1">{#N/A,#N/A,FALSE,"Aging Summary";#N/A,#N/A,FALSE,"Ratio Analysis";#N/A,#N/A,FALSE,"Test 120 Day Accts";#N/A,#N/A,FALSE,"Tickmarks"}</definedName>
    <definedName name="ert" hidden="1">{#N/A,#N/A,FALSE,"Aging Summary";#N/A,#N/A,FALSE,"Ratio Analysis";#N/A,#N/A,FALSE,"Test 120 Day Accts";#N/A,#N/A,FALSE,"Tickmarks"}</definedName>
    <definedName name="erter">#REF!</definedName>
    <definedName name="erty" localSheetId="2" hidden="1">{#N/A,#N/A,TRUE,"Буржуям"}</definedName>
    <definedName name="erty" hidden="1">{#N/A,#N/A,TRUE,"Буржуям"}</definedName>
    <definedName name="ESDTRX" localSheetId="2" hidden="1">{#N/A,#N/A,TRUE,"Summary"}</definedName>
    <definedName name="ESDTRX" hidden="1">{#N/A,#N/A,TRUE,"Summary"}</definedName>
    <definedName name="esnrc7c1" hidden="1">#NAME?</definedName>
    <definedName name="etsert" localSheetId="2" hidden="1">{"баланс",#N/A,TRUE,"Баланс  на  декабрь"}</definedName>
    <definedName name="etsert" hidden="1">{"баланс",#N/A,TRUE,"Баланс  на  декабрь"}</definedName>
    <definedName name="EV__EVCOM_OPTIONS__" hidden="1">8</definedName>
    <definedName name="EV__EXPOPTIONS__" hidden="1">0</definedName>
    <definedName name="EV__LASTREFTIME__">40429.7071643519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5</definedName>
    <definedName name="EV__WBVERSION__" hidden="1">0</definedName>
    <definedName name="EV__WSINFO__" hidden="1">"ocre"</definedName>
    <definedName name="ewrwer" localSheetId="2" hidden="1">{#N/A,#N/A,FALSE,"ORIX CSC"}</definedName>
    <definedName name="ewrwer" hidden="1">{#N/A,#N/A,FALSE,"ORIX CSC"}</definedName>
    <definedName name="ex_rate" localSheetId="2">#REF!</definedName>
    <definedName name="ex_rate">#REF!</definedName>
    <definedName name="EXCEL" localSheetId="2" hidden="1">{"CTO MES ACTUAL",#N/A,FALSE,"BASE ANEXOS";"VAR MES ACT",#N/A,FALSE,"BASE ANEXOS"}</definedName>
    <definedName name="EXCEL" hidden="1">{"CTO MES ACTUAL",#N/A,FALSE,"BASE ANEXOS";"VAR MES ACT",#N/A,FALSE,"BASE ANEXOS"}</definedName>
    <definedName name="Excel_BuiltIn_Print_Area_1">#REF!</definedName>
    <definedName name="Excel_BuiltIn_Print_Titles_1">#REF!</definedName>
    <definedName name="f">{"'CVB-Zinssatz Akt'!$A$2:$M$10","'CVB Ist'!$C$35:$O$37"}</definedName>
    <definedName name="FactsCount">70</definedName>
    <definedName name="fad">{#N/A,"70% Success",FALSE,"Sales Forecast";#N/A,#N/A,FALSE,"Sheet2"}</definedName>
    <definedName name="fad_1">{#N/A,"70% Success",FALSE,"Sales Forecast";#N/A,#N/A,FALSE,"Sheet2"}</definedName>
    <definedName name="fad_2">{#N/A,"70% Success",FALSE,"Sales Forecast";#N/A,#N/A,FALSE,"Sheet2"}</definedName>
    <definedName name="Farlington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CF1Q">#NAME?</definedName>
    <definedName name="FCF2Q">#NAME?</definedName>
    <definedName name="FCF3Q">#NAME?</definedName>
    <definedName name="FCF4Q">#NAME?</definedName>
    <definedName name="FCFX4">#NAME?</definedName>
    <definedName name="fd" localSheetId="2" hidden="1">{"'РП (2)'!$A$5:$S$150"}</definedName>
    <definedName name="fd" hidden="1">{"'РП (2)'!$A$5:$S$150"}</definedName>
    <definedName name="fdn">#REF!</definedName>
    <definedName name="FDP_0_1_aUdv" hidden="1">#REF!</definedName>
    <definedName name="FDP_0_1_aUrv" hidden="1">#REF!</definedName>
    <definedName name="FDP_0_1_dUdv" hidden="1">#REF!</definedName>
    <definedName name="FDP_1_1_aUdv" hidden="1">#REF!</definedName>
    <definedName name="FDP_1_1_aUrv" hidden="1">#REF!</definedName>
    <definedName name="FDP_10_1_aDrv" hidden="1">#REF!</definedName>
    <definedName name="FDP_100_1_dUrv" hidden="1">#REF!</definedName>
    <definedName name="FDP_101_1_aUrv" hidden="1">#REF!</definedName>
    <definedName name="FDP_102_1_aD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Drv" hidden="1">#REF!</definedName>
    <definedName name="FDP_114_1_aUrv" hidden="1">#REF!</definedName>
    <definedName name="FDP_115_1_aUrv" hidden="1">#REF!</definedName>
    <definedName name="FDP_116_1_aDrv" hidden="1">#REF!</definedName>
    <definedName name="FDP_116_1_aUrv" hidden="1">#REF!</definedName>
    <definedName name="FDP_117_1_aDrv" hidden="1">#REF!</definedName>
    <definedName name="FDP_117_1_aUrv" hidden="1">#REF!</definedName>
    <definedName name="FDP_118_1_aDrv" hidden="1">#REF!</definedName>
    <definedName name="FDP_118_1_aUrv" hidden="1">#REF!</definedName>
    <definedName name="FDP_119_1_aDrv" hidden="1">#REF!</definedName>
    <definedName name="FDP_119_1_aUrv" hidden="1">#REF!</definedName>
    <definedName name="FDP_12_1_aDrv" hidden="1">#REF!</definedName>
    <definedName name="FDP_12_1_aUrv" hidden="1">#REF!</definedName>
    <definedName name="FDP_13_1_aDrv" hidden="1">#REF!</definedName>
    <definedName name="FDP_13_1_aUrv" hidden="1">#REF!</definedName>
    <definedName name="FDP_14_1_aDrv" hidden="1">#REF!</definedName>
    <definedName name="FDP_14_1_aUrv" hidden="1">#REF!</definedName>
    <definedName name="FDP_15_1_aDrv" hidden="1">#REF!</definedName>
    <definedName name="FDP_15_1_aUrv" hidden="1">#REF!</definedName>
    <definedName name="FDP_16_1_aDrv" hidden="1">#REF!</definedName>
    <definedName name="FDP_16_1_aUrv" hidden="1">#REF!</definedName>
    <definedName name="FDP_17_1_aUrv" hidden="1">#REF!</definedName>
    <definedName name="FDP_18_1_aUrv" hidden="1">#REF!</definedName>
    <definedName name="FDP_19_1_aUrv" hidden="1">#REF!</definedName>
    <definedName name="FDP_2_1_aDr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Urv" hidden="1">#REF!</definedName>
    <definedName name="FDP_3_1_aD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Drv" hidden="1">#REF!</definedName>
    <definedName name="FDP_40_1_aUrv" hidden="1">#REF!</definedName>
    <definedName name="FDP_41_1_aUrv" hidden="1">#REF!</definedName>
    <definedName name="FDP_42_1_aDrv" hidden="1">#REF!</definedName>
    <definedName name="FDP_42_1_aUrv" hidden="1">#REF!</definedName>
    <definedName name="FDP_43_1_aDrv" hidden="1">#REF!</definedName>
    <definedName name="FDP_43_1_aUrv" hidden="1">#REF!</definedName>
    <definedName name="FDP_44_1_aUrv" hidden="1">#REF!</definedName>
    <definedName name="FDP_45_1_aUrv" hidden="1">#REF!</definedName>
    <definedName name="FDP_45_1_rUrv" hidden="1">#REF!</definedName>
    <definedName name="FDP_46_1_aUrv" hidden="1">#REF!</definedName>
    <definedName name="FDP_47_1_aUrv" hidden="1">#REF!</definedName>
    <definedName name="FDP_48_1_aDrv" hidden="1">#REF!</definedName>
    <definedName name="FDP_48_1_aUrv" hidden="1">#REF!</definedName>
    <definedName name="FDP_49_1_aDrv" hidden="1">#REF!</definedName>
    <definedName name="FDP_49_1_aUrv" hidden="1">#REF!</definedName>
    <definedName name="FDP_5_1_aDrv" hidden="1">#REF!</definedName>
    <definedName name="FDP_50_1_aUrv" hidden="1">#REF!</definedName>
    <definedName name="FDP_51_1_aUrv" hidden="1">#REF!</definedName>
    <definedName name="FDP_51_1_rUrv" hidden="1">#REF!</definedName>
    <definedName name="FDP_52_1_aUrv" hidden="1">#REF!</definedName>
    <definedName name="FDP_53_1_aUrv" hidden="1">#REF!</definedName>
    <definedName name="FDP_54_1_aUrv" hidden="1">#REF!</definedName>
    <definedName name="FDP_55_1_aUrv" hidden="1">#REF!</definedName>
    <definedName name="FDP_56_1_aDrv" hidden="1">#REF!</definedName>
    <definedName name="FDP_57_1_aDrv" hidden="1">#REF!</definedName>
    <definedName name="FDP_58_1_aDrv" hidden="1">#REF!</definedName>
    <definedName name="FDP_59_1_aDrv" hidden="1">#REF!</definedName>
    <definedName name="FDP_6_1_aDrv" hidden="1">#REF!</definedName>
    <definedName name="FDP_6_1_aUdv" hidden="1">#REF!</definedName>
    <definedName name="FDP_6_1_dUdv" hidden="1">#REF!</definedName>
    <definedName name="FDP_60_1_aUrv" hidden="1">#REF!</definedName>
    <definedName name="FDP_61_1_aUrv" hidden="1">#REF!</definedName>
    <definedName name="FDP_62_1_aUrv" hidden="1">#REF!</definedName>
    <definedName name="FDP_63_1_aSrv" hidden="1">#REF!</definedName>
    <definedName name="FDP_64_1_aSrv" hidden="1">#REF!</definedName>
    <definedName name="FDP_65_1_aDrv" hidden="1">#REF!</definedName>
    <definedName name="FDP_66_1_aDrv" hidden="1">#REF!</definedName>
    <definedName name="FDP_67_1_aDrv" hidden="1">#REF!</definedName>
    <definedName name="FDP_68_1_aDrv" hidden="1">#REF!</definedName>
    <definedName name="FDP_69_1_aDrv" hidden="1">#REF!</definedName>
    <definedName name="FDP_7_1_aDrv" hidden="1">#REF!</definedName>
    <definedName name="FDP_7_1_aUdv" hidden="1">#REF!</definedName>
    <definedName name="FDP_70_1_aSrv" hidden="1">#REF!</definedName>
    <definedName name="FDP_71_1_aSrv" hidden="1">#REF!</definedName>
    <definedName name="FDP_72_1_aSrv" hidden="1">#REF!</definedName>
    <definedName name="FDP_73_1_aSrv" hidden="1">#REF!</definedName>
    <definedName name="FDP_74_1_aSrv" hidden="1">#REF!</definedName>
    <definedName name="FDP_75_1_aSrv" hidden="1">#REF!</definedName>
    <definedName name="FDP_76_1_aSrv" hidden="1">#REF!</definedName>
    <definedName name="FDP_77_1_aSrv" hidden="1">#REF!</definedName>
    <definedName name="FDP_78_1_aSrv" hidden="1">#REF!</definedName>
    <definedName name="FDP_79_1_aSrv" hidden="1">#REF!</definedName>
    <definedName name="FDP_8_1_aDrv" hidden="1">#REF!</definedName>
    <definedName name="FDP_80_1_aSrv" hidden="1">#REF!</definedName>
    <definedName name="FDP_81_1_aUrv" hidden="1">#REF!</definedName>
    <definedName name="FDP_82_1_aUrv" hidden="1">#REF!</definedName>
    <definedName name="FDP_9_1_aDrv" hidden="1">#REF!</definedName>
    <definedName name="fds" localSheetId="2" hidden="1">{"'9'!$A$1:$S$99"}</definedName>
    <definedName name="fds" hidden="1">{"'9'!$A$1:$S$99"}</definedName>
    <definedName name="fdssa" localSheetId="2" hidden="1">{#N/A,#N/A,FALSE,"Summary";#N/A,#N/A,FALSE,"CF";#N/A,#N/A,FALSE,"P&amp;L";#N/A,#N/A,FALSE,"BS";#N/A,#N/A,FALSE,"Returns";#N/A,#N/A,FALSE,"Assumptions";#N/A,#N/A,FALSE,"Analysis"}</definedName>
    <definedName name="fdssa" hidden="1">{#N/A,#N/A,FALSE,"Summary";#N/A,#N/A,FALSE,"CF";#N/A,#N/A,FALSE,"P&amp;L";#N/A,#N/A,FALSE,"BS";#N/A,#N/A,FALSE,"Returns";#N/A,#N/A,FALSE,"Assumptions";#N/A,#N/A,FALSE,"Analysis"}</definedName>
    <definedName name="fdssa1" localSheetId="2" hidden="1">{#N/A,#N/A,FALSE,"Summary";#N/A,#N/A,FALSE,"CF";#N/A,#N/A,FALSE,"P&amp;L";#N/A,#N/A,FALSE,"BS";#N/A,#N/A,FALSE,"Returns";#N/A,#N/A,FALSE,"Assumptions";#N/A,#N/A,FALSE,"Analysis"}</definedName>
    <definedName name="fdssa1" hidden="1">{#N/A,#N/A,FALSE,"Summary";#N/A,#N/A,FALSE,"CF";#N/A,#N/A,FALSE,"P&amp;L";#N/A,#N/A,FALSE,"BS";#N/A,#N/A,FALSE,"Returns";#N/A,#N/A,FALSE,"Assumptions";#N/A,#N/A,FALSE,"Analysis"}</definedName>
    <definedName name="feb" localSheetId="2">#REF!</definedName>
    <definedName name="feb">#REF!</definedName>
    <definedName name="ff">{"'CVB-Zinssatz Akt'!$A$2:$M$10","'CVB Ist'!$C$35:$O$37"}</definedName>
    <definedName name="fff">{"'CVB-Zinssatz Akt'!$A$2:$M$10","'CVB Ist'!$C$35:$O$37"}</definedName>
    <definedName name="ffffff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ffffff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ffffffffff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ffff" localSheetId="2" hidden="1">{"Страница 1",#N/A,FALSE,"Модель Интенсивника";"Страница 3",#N/A,FALSE,"Модель Интенсивника"}</definedName>
    <definedName name="fffffffffffffff" hidden="1">{"Страница 1",#N/A,FALSE,"Модель Интенсивника";"Страница 3",#N/A,FALSE,"Модель Интенсивника"}</definedName>
    <definedName name="ffffffffffffffff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fffff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ffffff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ffffffffffffffff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fg" localSheetId="2" hidden="1">{"'Sheet1'!$A$1:$G$96","'Sheet1'!$A$1:$H$96"}</definedName>
    <definedName name="fg" hidden="1">{"'Sheet1'!$A$1:$G$96","'Sheet1'!$A$1:$H$96"}</definedName>
    <definedName name="fgf" localSheetId="2" hidden="1">{#N/A,#N/A,FALSE,"т02бд"}</definedName>
    <definedName name="fgf" hidden="1">{#N/A,#N/A,FALSE,"т02бд"}</definedName>
    <definedName name="fgfg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gfg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fgfgf" localSheetId="2" hidden="1">{#N/A,#N/A,FALSE,"т02бд"}</definedName>
    <definedName name="fgfgf" hidden="1">{#N/A,#N/A,FALSE,"т02бд"}</definedName>
    <definedName name="fgfgfgfgfgf" localSheetId="2" hidden="1">{#N/A,#N/A,FALSE,"т02бд"}</definedName>
    <definedName name="fgfgfgfgfgf" hidden="1">{#N/A,#N/A,FALSE,"т02бд"}</definedName>
    <definedName name="fghh" localSheetId="2" hidden="1">{#N/A,#N/A,FALSE,"magsep2";#N/A,#N/A,FALSE,"¾"" X ½""";#N/A,#N/A,FALSE,"½"" X ¼""";#N/A,#N/A,FALSE,"¼"" X 8 Mesh";#N/A,#N/A,FALSE,"8 X 14 Mesh"}</definedName>
    <definedName name="fghh" hidden="1">{#N/A,#N/A,FALSE,"magsep2";#N/A,#N/A,FALSE,"¾"" X ½""";#N/A,#N/A,FALSE,"½"" X ¼""";#N/A,#N/A,FALSE,"¼"" X 8 Mesh";#N/A,#N/A,FALSE,"8 X 14 Mesh"}</definedName>
    <definedName name="fghn" localSheetId="2" hidden="1">{#VALUE!,#N/A,TRUE,0}</definedName>
    <definedName name="fghn" hidden="1">{#VALUE!,#N/A,TRUE,0}</definedName>
    <definedName name="fhjgh" localSheetId="2" hidden="1">{"glc1",#N/A,FALSE,"GLC";"glc2",#N/A,FALSE,"GLC";"glc3",#N/A,FALSE,"GLC";"glc4",#N/A,FALSE,"GLC";"glc5",#N/A,FALSE,"GLC"}</definedName>
    <definedName name="fhjgh" hidden="1">{"glc1",#N/A,FALSE,"GLC";"glc2",#N/A,FALSE,"GLC";"glc3",#N/A,FALSE,"GLC";"glc4",#N/A,FALSE,"GLC";"glc5",#N/A,FALSE,"GLC"}</definedName>
    <definedName name="file" localSheetId="2">#REF!</definedName>
    <definedName name="file">#REF!</definedName>
    <definedName name="Fin" localSheetId="2" hidden="1">{"Valuation_Common",#N/A,FALSE,"Valuation"}</definedName>
    <definedName name="Fin" hidden="1">{"Valuation_Common",#N/A,FALSE,"Valuation"}</definedName>
    <definedName name="Finance" localSheetId="2" hidden="1">{"Valuation_Common",#N/A,FALSE,"Valuation"}</definedName>
    <definedName name="Finance" hidden="1">{"Valuation_Common",#N/A,FALSE,"Valuation"}</definedName>
    <definedName name="Firm_NAME" hidden="1">#NAME?</definedName>
    <definedName name="fleet">#REF!</definedName>
    <definedName name="FOR_KV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FOR_KV" hidden="1">{"BOP_TAB",#N/A,FALSE,"N";"MIDTERM_TAB",#N/A,FALSE,"O";"FUND_CRED",#N/A,FALSE,"P";"DEBT_TAB1",#N/A,FALSE,"Q";"DEBT_TAB2",#N/A,FALSE,"Q";"FORFIN_TAB1",#N/A,FALSE,"R";"FORFIN_TAB2",#N/A,FALSE,"R";"BOP_ANALY",#N/A,FALSE,"U"}</definedName>
    <definedName name="ForestHill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Neiman" localSheetId="2">#REF!</definedName>
    <definedName name="ForNeiman">#REF!</definedName>
    <definedName name="FP_flag" localSheetId="2">#REF!</definedName>
    <definedName name="FP_flag">#REF!</definedName>
    <definedName name="Frank" localSheetId="2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tcf" localSheetId="2" hidden="1">{0,0}</definedName>
    <definedName name="frtcf" hidden="1">{0,0}</definedName>
    <definedName name="fs" localSheetId="2" hidden="1">{"'Sheet1'!$A$1:$G$96","'Sheet1'!$A$1:$H$96"}</definedName>
    <definedName name="fs" hidden="1">{"'Sheet1'!$A$1:$G$96","'Sheet1'!$A$1:$H$96"}</definedName>
    <definedName name="fsadd" hidden="1">#REF!</definedName>
    <definedName name="fsd" localSheetId="2" hidden="1">{"баланс",#N/A,TRUE,"Баланс  на  декабрь"}</definedName>
    <definedName name="fsd" hidden="1">{"баланс",#N/A,TRUE,"Баланс  на  декабрь"}</definedName>
    <definedName name="FTP_дата_1">#NAME?</definedName>
    <definedName name="FTP_дата_2">#NAME?</definedName>
    <definedName name="FTP_дата_3">#NAME?</definedName>
    <definedName name="FTP_диапазон_1">#NAME?</definedName>
    <definedName name="FTP_диапазон_2">#NAME?</definedName>
    <definedName name="FTP_диапазон_3">#NAME?</definedName>
    <definedName name="ftyfty" localSheetId="2" hidden="1">{0,0}</definedName>
    <definedName name="ftyfty" hidden="1">{0,0}</definedName>
    <definedName name="fuftu" localSheetId="2" hidden="1">{0,0}</definedName>
    <definedName name="fuftu" hidden="1">{0,0}</definedName>
    <definedName name="fw" localSheetId="2" hidden="1">{#N/A,#N/A,FALSE,"New Depr Sch-150% DB";#N/A,#N/A,FALSE,"Cash Flows RLP";#N/A,#N/A,FALSE,"IRR";#N/A,#N/A,FALSE,"Proforma IS";#N/A,#N/A,FALSE,"Assumptions"}</definedName>
    <definedName name="fw">#REF!</definedName>
    <definedName name="fwqd12" localSheetId="2" hidden="1">#REF!</definedName>
    <definedName name="fwqd12" hidden="1">#REF!</definedName>
    <definedName name="g" localSheetId="2" hidden="1">#REF!</definedName>
    <definedName name="g" hidden="1">#REF!</definedName>
    <definedName name="G\ra10" localSheetId="2" hidden="1">#REF!</definedName>
    <definedName name="G\ra10" hidden="1">#REF!</definedName>
    <definedName name="GAAP_СКОС102" hidden="1">#NAME?</definedName>
    <definedName name="GAAP_СНОС105" hidden="1">#NAME?</definedName>
    <definedName name="GAAPNGW_СКОС106" hidden="1">#NAME?</definedName>
    <definedName name="garyneu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BVClose_Капвложения" hidden="1">#NAME?</definedName>
    <definedName name="GBVClose_НеАллокированные" hidden="1">#NAME?</definedName>
    <definedName name="GBVClose_Оборудование" hidden="1">#NAME?</definedName>
    <definedName name="GBVClose_ПроизвБезГрупп" hidden="1">#NAME?</definedName>
    <definedName name="GBVClose_ПроизвБиблиотека" hidden="1">#NAME?</definedName>
    <definedName name="GBVClose_ПроизвЗдания" hidden="1">#NAME?</definedName>
    <definedName name="GBVClose_ПроизвЗемля" hidden="1">#NAME?</definedName>
    <definedName name="GBVClose_ПроизвИнвентарь" hidden="1">#NAME?</definedName>
    <definedName name="GBVClose_ПроизвИнструмент" hidden="1">#NAME?</definedName>
    <definedName name="GBVClose_ПроизвМашВыч" hidden="1">#NAME?</definedName>
    <definedName name="GBVClose_ПроизвМашИзмер" hidden="1">#NAME?</definedName>
    <definedName name="GBVClose_ПроизвМашПроч" hidden="1">#NAME?</definedName>
    <definedName name="GBVClose_ПроизвМашРабоч" hidden="1">#NAME?</definedName>
    <definedName name="GBVClose_ПроизвМашСил" hidden="1">#NAME?</definedName>
    <definedName name="GBVClose_ПроизвНасаждения" hidden="1">#NAME?</definedName>
    <definedName name="GBVClose_ПроизвПередат" hidden="1">#NAME?</definedName>
    <definedName name="GBVClose_ПроизвПрочие" hidden="1">#NAME?</definedName>
    <definedName name="GBVClose_ПроизвСкот" hidden="1">#NAME?</definedName>
    <definedName name="GBVClose_ПроизвСооружения" hidden="1">#NAME?</definedName>
    <definedName name="GBVClose_ПроизвТранспорт" hidden="1">#NAME?</definedName>
    <definedName name="GBVClose_ПроизвУлучшЗемли" hidden="1">#NAME?</definedName>
    <definedName name="GBVClose_СоцБезГрупп" hidden="1">#NAME?</definedName>
    <definedName name="GBVClose_СоцБиблиотека" hidden="1">#NAME?</definedName>
    <definedName name="GBVClose_СоцЗдания" hidden="1">#NAME?</definedName>
    <definedName name="GBVClose_СоцЗемля" hidden="1">#NAME?</definedName>
    <definedName name="GBVClose_СоцИнвентарь" hidden="1">#NAME?</definedName>
    <definedName name="GBVClose_СоцИнструмент" hidden="1">#NAME?</definedName>
    <definedName name="GBVClose_СоцМашВыч" hidden="1">#NAME?</definedName>
    <definedName name="GBVClose_СоцМашИзмер" hidden="1">#NAME?</definedName>
    <definedName name="GBVClose_СоцМашПроч" hidden="1">#NAME?</definedName>
    <definedName name="GBVClose_СоцМашРабоч" hidden="1">#NAME?</definedName>
    <definedName name="GBVClose_СоцМашСил" hidden="1">#NAME?</definedName>
    <definedName name="GBVClose_СоцНасаждения" hidden="1">#NAME?</definedName>
    <definedName name="GBVClose_СоцПередат" hidden="1">#NAME?</definedName>
    <definedName name="GBVClose_СоцПрочие" hidden="1">#NAME?</definedName>
    <definedName name="GBVClose_СоцСкот" hidden="1">#NAME?</definedName>
    <definedName name="GBVClose_СоцСооружения" hidden="1">#NAME?</definedName>
    <definedName name="GBVClose_СоцТранспорт" hidden="1">#NAME?</definedName>
    <definedName name="GBVClose_СоцУлучшЗемли" hidden="1">#NAME?</definedName>
    <definedName name="GBVOpen_Капвложения" hidden="1">#NAME?</definedName>
    <definedName name="GBVOpen_НеАллокированные" hidden="1">#NAME?</definedName>
    <definedName name="GBVOpen_Оборудование" hidden="1">#NAME?</definedName>
    <definedName name="GBVOpen_ПроизвБезГрупп" hidden="1">#NAME?</definedName>
    <definedName name="GBVOpen_ПроизвБиблиотека" hidden="1">#NAME?</definedName>
    <definedName name="GBVOpen_ПроизвЗдания" hidden="1">#NAME?</definedName>
    <definedName name="GBVOpen_ПроизвЗемля" hidden="1">#NAME?</definedName>
    <definedName name="GBVOpen_ПроизвИнвентарь" hidden="1">#NAME?</definedName>
    <definedName name="GBVOpen_ПроизвИнструмент" hidden="1">#NAME?</definedName>
    <definedName name="GBVOpen_ПроизвМашВыч" hidden="1">#NAME?</definedName>
    <definedName name="GBVOpen_ПроизвМашИзмер" hidden="1">#NAME?</definedName>
    <definedName name="GBVOpen_ПроизвМашПроч" hidden="1">#NAME?</definedName>
    <definedName name="GBVOpen_ПроизвМашРабоч" hidden="1">#NAME?</definedName>
    <definedName name="GBVOpen_ПроизвМашСил" hidden="1">#NAME?</definedName>
    <definedName name="GBVOpen_ПроизвНасаждения" hidden="1">#NAME?</definedName>
    <definedName name="GBVOpen_ПроизвПередат" hidden="1">#NAME?</definedName>
    <definedName name="GBVOpen_ПроизвПрочие" hidden="1">#NAME?</definedName>
    <definedName name="GBVOpen_ПроизвСкот" hidden="1">#NAME?</definedName>
    <definedName name="GBVOpen_ПроизвСооружения" hidden="1">#NAME?</definedName>
    <definedName name="GBVOpen_ПроизвТранспорт" hidden="1">#NAME?</definedName>
    <definedName name="GBVOpen_ПроизвУлучшЗемли" hidden="1">#NAME?</definedName>
    <definedName name="GBVOpen_СоцБезГрупп" hidden="1">#NAME?</definedName>
    <definedName name="GBVOpen_СоцБиблиотека" hidden="1">#NAME?</definedName>
    <definedName name="GBVOpen_СоцЗдания" hidden="1">#NAME?</definedName>
    <definedName name="GBVOpen_СоцЗемля" hidden="1">#NAME?</definedName>
    <definedName name="GBVOpen_СоцИнвентарь" hidden="1">#NAME?</definedName>
    <definedName name="GBVOpen_СоцИнструмент" hidden="1">#NAME?</definedName>
    <definedName name="GBVOpen_СоцМашВыч" hidden="1">#NAME?</definedName>
    <definedName name="GBVOpen_СоцМашИзмер" hidden="1">#NAME?</definedName>
    <definedName name="GBVOpen_СоцМашПроч" hidden="1">#NAME?</definedName>
    <definedName name="GBVOpen_СоцМашРабоч" hidden="1">#NAME?</definedName>
    <definedName name="GBVOpen_СоцМашСил" hidden="1">#NAME?</definedName>
    <definedName name="GBVOpen_СоцНасаждения" hidden="1">#NAME?</definedName>
    <definedName name="GBVOpen_СоцПередат" hidden="1">#NAME?</definedName>
    <definedName name="GBVOpen_СоцПрочие" hidden="1">#NAME?</definedName>
    <definedName name="GBVOpen_СоцСкот" hidden="1">#NAME?</definedName>
    <definedName name="GBVOpen_СоцСооружения" hidden="1">#NAME?</definedName>
    <definedName name="GBVOpen_СоцТранспорт" hidden="1">#NAME?</definedName>
    <definedName name="GBVOpen_СоцУлучшЗемли" hidden="1">#NAME?</definedName>
    <definedName name="general_exp.">{#N/A,"100% Success",TRUE,"Sales Forecast";#N/A,#N/A,TRUE,"Sheet2"}</definedName>
    <definedName name="general_exp._1">{#N/A,"100% Success",TRUE,"Sales Forecast";#N/A,#N/A,TRUE,"Sheet2"}</definedName>
    <definedName name="general_exp._2">{#N/A,"100% Success",TRUE,"Sales Forecast";#N/A,#N/A,TRUE,"Sheet2"}</definedName>
    <definedName name="gg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" localSheetId="2" hidden="1">{#N/A,#N/A,FALSE,"Aging Summary";#N/A,#N/A,FALSE,"Ratio Analysis";#N/A,#N/A,FALSE,"Test 120 Day Accts";#N/A,#N/A,FALSE,"Tickmarks"}</definedName>
    <definedName name="ggg" hidden="1">{#N/A,#N/A,FALSE,"Aging Summary";#N/A,#N/A,FALSE,"Ratio Analysis";#N/A,#N/A,FALSE,"Test 120 Day Accts";#N/A,#N/A,FALSE,"Tickmarks"}</definedName>
    <definedName name="gggfh2" localSheetId="2" hidden="1">{"det (May)",#N/A,FALSE,"June";"sum (MAY YTD)",#N/A,FALSE,"June YTD"}</definedName>
    <definedName name="gggfh2">#REF!</definedName>
    <definedName name="gggggg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reen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hd" localSheetId="2" hidden="1">{#N/A,#N/A,FALSE,"Aging Summary";#N/A,#N/A,FALSE,"Ratio Analysis";#N/A,#N/A,FALSE,"Test 120 Day Accts";#N/A,#N/A,FALSE,"Tickmarks"}</definedName>
    <definedName name="ghd" hidden="1">{#N/A,#N/A,FALSE,"Aging Summary";#N/A,#N/A,FALSE,"Ratio Analysis";#N/A,#N/A,FALSE,"Test 120 Day Accts";#N/A,#N/A,FALSE,"Tickmarks"}</definedName>
    <definedName name="ghghg" localSheetId="2" hidden="1">{#N/A,#N/A,FALSE,"т02бд"}</definedName>
    <definedName name="ghghg" hidden="1">{#N/A,#N/A,FALSE,"т02бд"}</definedName>
    <definedName name="ghghghg" localSheetId="2" hidden="1">{#N/A,#N/A,FALSE,"т02бд"}</definedName>
    <definedName name="ghghghg" hidden="1">{#N/A,#N/A,FALSE,"т02бд"}</definedName>
    <definedName name="ghhghd" localSheetId="2" hidden="1">{"mgmt forecast",#N/A,FALSE,"Mgmt Forecast";"dcf table",#N/A,FALSE,"Mgmt Forecast";"sensitivity",#N/A,FALSE,"Mgmt Forecast";"table inputs",#N/A,FALSE,"Mgmt Forecast";"calculations",#N/A,FALSE,"Mgmt Forecast"}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localSheetId="2" hidden="1">{#N/A,#N/A,FALSE,"ORIX CSC"}</definedName>
    <definedName name="ghhhg" hidden="1">{#N/A,#N/A,FALSE,"ORIX CSC"}</definedName>
    <definedName name="ghj" localSheetId="2" hidden="1">{#N/A,#N/A,FALSE,"Год 99."}</definedName>
    <definedName name="ghj" hidden="1">{#N/A,#N/A,FALSE,"Год 99."}</definedName>
    <definedName name="ghjh" hidden="1">#REF!</definedName>
    <definedName name="ghjhjkhk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hjhjkhk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ghjk8" localSheetId="2" hidden="1">{"'Sheet1'!$A$1:$G$96","'Sheet1'!$A$1:$H$96"}</definedName>
    <definedName name="ghjk8" hidden="1">{"'Sheet1'!$A$1:$G$96","'Sheet1'!$A$1:$H$96"}</definedName>
    <definedName name="ghl" localSheetId="2" hidden="1">{#N/A,#N/A,FALSE,"Год 99."}</definedName>
    <definedName name="ghl" hidden="1">{#N/A,#N/A,FALSE,"Год 99."}</definedName>
    <definedName name="ghuvg" localSheetId="2" hidden="1">{0,0}</definedName>
    <definedName name="ghuvg" hidden="1">{0,0}</definedName>
    <definedName name="gogo" localSheetId="2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rahp" hidden="1">#NAME?</definedName>
    <definedName name="graph_bincome2" hidden="1">#N/A</definedName>
    <definedName name="Graph_Xdriver" hidden="1">#N/A</definedName>
    <definedName name="greg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greg" hidden="1">{#N/A,#N/A,FALSE,"INPUTS";#N/A,#N/A,FALSE,"PROFORMA BSHEET";#N/A,#N/A,FALSE,"COMBINED";#N/A,#N/A,FALSE,"ACQUIROR";#N/A,#N/A,FALSE,"TARGET 1";#N/A,#N/A,FALSE,"TARGET 2";#N/A,#N/A,FALSE,"HIGH YIELD";#N/A,#N/A,FALSE,"OVERFUND"}</definedName>
    <definedName name="Group">#NAME?</definedName>
    <definedName name="gujfdjfdj" localSheetId="2" hidden="1">{"print95",#N/A,FALSE,"1995E.XLS";"print96",#N/A,FALSE,"1996E.XLS"}</definedName>
    <definedName name="gujfdjfdj" hidden="1">{"print95",#N/A,FALSE,"1995E.XLS";"print96",#N/A,FALSE,"1996E.XLS"}</definedName>
    <definedName name="gv" localSheetId="2" hidden="1">{#N/A,#N/A,TRUE,"Буржуям"}</definedName>
    <definedName name="gv" hidden="1">{#N/A,#N/A,TRUE,"Буржуям"}</definedName>
    <definedName name="gweujgf" localSheetId="2" hidden="1">{#N/A,#N/A,FALSE,"New Depr Sch-150% DB";#N/A,#N/A,FALSE,"Cash Flows RLP";#N/A,#N/A,FALSE,"IRR";#N/A,#N/A,FALSE,"Proforma IS";#N/A,#N/A,FALSE,"Assumptions"}</definedName>
    <definedName name="gweujgf">#REF!</definedName>
    <definedName name="gyu" localSheetId="2" hidden="1">{0,0}</definedName>
    <definedName name="gyu" hidden="1">{0,0}</definedName>
    <definedName name="h" hidden="1">#REF!</definedName>
    <definedName name="harlow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yes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ye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ead_of_Call_Center_Management">#REF!,#REF!,#REF!,#REF!,#REF!</definedName>
    <definedName name="Header1" localSheetId="2" hidden="1">IF(COUNTA(#REF!)=0,0,INDEX(#REF!,MATCH(ROW(#REF!),#REF!,TRUE)))+1</definedName>
    <definedName name="Header1" hidden="1">IF(COUNTA(#REF!)=0,0,INDEX(#REF!,MATCH(ROW(#REF!),#REF!,TRUE)))+1</definedName>
    <definedName name="Header2" hidden="1">#NAME?</definedName>
    <definedName name="HeaderCols">1</definedName>
    <definedName name="HeaderRows">3</definedName>
    <definedName name="headoffice">{"'CVB-Zinssatz Akt'!$A$2:$M$10","'CVB Ist'!$C$35:$O$37"}</definedName>
    <definedName name="hf" localSheetId="2" hidden="1">{"баланс",#N/A,TRUE,"Баланс  на  декабрь"}</definedName>
    <definedName name="hf" hidden="1">{"баланс",#N/A,TRUE,"Баланс  на  декабрь"}</definedName>
    <definedName name="hgdtgd" localSheetId="2" hidden="1">{"'РП (2)'!$A$5:$S$150"}</definedName>
    <definedName name="hgdtgd" hidden="1">{"'РП (2)'!$A$5:$S$150"}</definedName>
    <definedName name="hgf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hh" localSheetId="1" hidden="1">MAIN.SAPF4HELP()</definedName>
    <definedName name="hghh" localSheetId="2" hidden="1">MAIN.SAPF4HELP()</definedName>
    <definedName name="hghh" hidden="1">MAIN.SAPF4HELP()</definedName>
    <definedName name="hgj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hgj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hgrth" localSheetId="2" hidden="1">{"orixcsc",#N/A,FALSE,"ORIX CSC";"orixcsc2",#N/A,FALSE,"ORIX CSC"}</definedName>
    <definedName name="hgrth" hidden="1">{"orixcsc",#N/A,FALSE,"ORIX CSC";"orixcsc2",#N/A,FALSE,"ORIX CSC"}</definedName>
    <definedName name="hh">{"'CVB-Zinssatz Akt'!$A$2:$M$10","'CVB Ist'!$C$35:$O$37"}</definedName>
    <definedName name="hhh" localSheetId="2" hidden="1">{#N/A,#N/A,FALSE,"Год 99."}</definedName>
    <definedName name="hhh" hidden="1">{#N/A,#N/A,FALSE,"Год 99."}</definedName>
    <definedName name="hhhh" hidden="1">#REF!</definedName>
    <definedName name="Hist_Period">#REF!</definedName>
    <definedName name="hiulj" localSheetId="2" hidden="1">{"EVA",#N/A,FALSE,"EVA";"WACC",#N/A,FALSE,"WACC"}</definedName>
    <definedName name="hiulj" hidden="1">{"EVA",#N/A,FALSE,"EVA";"WACC",#N/A,FALSE,"WACC"}</definedName>
    <definedName name="hjhjj" localSheetId="2" hidden="1">{#N/A,#N/A,FALSE,"ORIX CSC"}</definedName>
    <definedName name="hjhjj" hidden="1">{#N/A,#N/A,FALSE,"ORIX CSC"}</definedName>
    <definedName name="hjk" localSheetId="2" hidden="1">{#N/A,#N/A,FALSE,"Год 99."}</definedName>
    <definedName name="hjk" hidden="1">{#N/A,#N/A,FALSE,"Год 99."}</definedName>
    <definedName name="HOJA" localSheetId="2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rsham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ors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P_flag" localSheetId="2">#REF!</definedName>
    <definedName name="HP_flag">#REF!</definedName>
    <definedName name="hr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hr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HTLM" localSheetId="2" hidden="1">{"'РП (2)'!$A$5:$S$150"}</definedName>
    <definedName name="HTLM" hidden="1">{"'РП (2)'!$A$5:$S$150"}</definedName>
    <definedName name="html">{"'CVB-Zinssatz Akt'!$A$2:$M$10","'CVB Ist'!$C$35:$O$37"}</definedName>
    <definedName name="HTML_C" localSheetId="2" hidden="1">{"'Sheet1'!$A$12:$K$107"}</definedName>
    <definedName name="HTML_C" hidden="1">{"'Sheet1'!$A$12:$K$107"}</definedName>
    <definedName name="HTML_C_1" localSheetId="2" hidden="1">{"'Sheet1'!$A$12:$K$107"}</definedName>
    <definedName name="HTML_C_1" hidden="1">{"'Sheet1'!$A$12:$K$107"}</definedName>
    <definedName name="HTML_CodePage">1252</definedName>
    <definedName name="HTML_Control" localSheetId="2" hidden="1">{"'Sheet1'!$A$1:$G$85"}</definedName>
    <definedName name="HTML_Control">{"'Sheet1'!$A$12:$K$107"}</definedName>
    <definedName name="HTML_Control_1">{"'Sheet1'!$A$12:$K$107"}</definedName>
    <definedName name="HTML_Control_2">{"'Sheet1'!$A$12:$K$107"}</definedName>
    <definedName name="HTML_Control1" localSheetId="2" hidden="1">{"'Sheet1'!$A$1:$X$25"}</definedName>
    <definedName name="HTML_Control1" hidden="1">{"'Sheet1'!$A$1:$X$25"}</definedName>
    <definedName name="HTML_Description">""</definedName>
    <definedName name="HTML_Email">""</definedName>
    <definedName name="HTML_Header" localSheetId="2" hidden="1">"Sheet1"</definedName>
    <definedName name="HTML_Header">"Cost of Capital"</definedName>
    <definedName name="HTML_LastUpdate" localSheetId="2" hidden="1">"2/24/99"</definedName>
    <definedName name="HTML_LastUpdate">"9/11/00"</definedName>
    <definedName name="HTML_LineAfter" localSheetId="2" hidden="1">TRUE</definedName>
    <definedName name="HTML_LineAfter">1</definedName>
    <definedName name="HTML_LineBefore" localSheetId="2" hidden="1">TRUE</definedName>
    <definedName name="HTML_LineBefore">1</definedName>
    <definedName name="HTML_Name">"Aswath Damodaran"</definedName>
    <definedName name="HTML_OBDlg2" localSheetId="2" hidden="1">TRUE</definedName>
    <definedName name="HTML_OBDlg2">1</definedName>
    <definedName name="HTML_OBDlg3">TRUE()</definedName>
    <definedName name="HTML_OBDlg4" localSheetId="2" hidden="1">TRUE</definedName>
    <definedName name="HTML_OBDlg4">1</definedName>
    <definedName name="HTML_OS">1</definedName>
    <definedName name="HTML_PathFile">"C:\WINNT\Profiles\OLegR\Рабочий стол\MyHTML.htm"</definedName>
    <definedName name="HTML_PathFileMac" localSheetId="2" hidden="1">"Macintosh HD:HomePageStuff:New_Home_Page:datafile:histret.html"</definedName>
    <definedName name="HTML_PathFileMac">"Macintosh HD:Web Site “~adamodar”:pc:datasets:MyHTML.html"</definedName>
    <definedName name="HTML_PathTemplate">"G:\TEMP\Котировки векселей.htm"</definedName>
    <definedName name="HTML_Title" localSheetId="2" hidden="1">"Historical Returns on Stocks, Bonds and Bills"</definedName>
    <definedName name="HTML_Title">"wacc"</definedName>
    <definedName name="HTML1_1">"[ReturnsHistorical]Sheet1!$A$1:$D$77"</definedName>
    <definedName name="HTML1_10">""</definedName>
    <definedName name="HTML1_11">1</definedName>
    <definedName name="HTML1_12">"Zip 100:New_Home_Page:datafile:histret.html"</definedName>
    <definedName name="HTML1_2">1</definedName>
    <definedName name="HTML1_3">"ReturnsHistorical"</definedName>
    <definedName name="HTML1_4">"Historical Returns on Stocks, Bonds and Bills"</definedName>
    <definedName name="HTML1_5">"Ibbotson Data"</definedName>
    <definedName name="HTML1_6">-4146</definedName>
    <definedName name="HTML1_7">-4146</definedName>
    <definedName name="HTML1_8">"3/17/97"</definedName>
    <definedName name="HTML1_9">"Aswath Damodaran"</definedName>
    <definedName name="HTML2_1">"[histret.xls]Sheet1!$A$1:$G$85"</definedName>
    <definedName name="HTML2_10">""</definedName>
    <definedName name="HTML2_11">1</definedName>
    <definedName name="HTML2_12">"Macintosh HD:New_Home_Page:datafile:histret.html"</definedName>
    <definedName name="HTML2_2">1</definedName>
    <definedName name="HTML2_3">"Historical Returns"</definedName>
    <definedName name="HTML2_4">"Historical Returns on Stocks, Bonds and Bills"</definedName>
    <definedName name="HTML2_5">""</definedName>
    <definedName name="HTML2_6">1</definedName>
    <definedName name="HTML2_7">1</definedName>
    <definedName name="HTML2_8">"2/3/98"</definedName>
    <definedName name="HTML2_9">"Aswath Damodaran"</definedName>
    <definedName name="HTMLCount">2</definedName>
    <definedName name="I" localSheetId="2">#REF!</definedName>
    <definedName name="i" hidden="1">{#N/A,#N/A,FALSE,"т02бд"}</definedName>
    <definedName name="iam" localSheetId="2" hidden="1">{#N/A,#N/A,FALSE,"magsep2";#N/A,#N/A,FALSE,"¾"" X ½""";#N/A,#N/A,FALSE,"½"" X ¼""";#N/A,#N/A,FALSE,"¼"" X 8 Mesh";#N/A,#N/A,FALSE,"8 X 14 Mesh"}</definedName>
    <definedName name="iam" hidden="1">{#N/A,#N/A,FALSE,"magsep2";#N/A,#N/A,FALSE,"¾"" X ½""";#N/A,#N/A,FALSE,"½"" X ¼""";#N/A,#N/A,FALSE,"¼"" X 8 Mesh";#N/A,#N/A,FALSE,"8 X 14 Mesh"}</definedName>
    <definedName name="ID_Cube" localSheetId="2">#REF!</definedName>
    <definedName name="ID_Cube">#REF!</definedName>
    <definedName name="ID_проекта">#REF!</definedName>
    <definedName name="ihjhf" localSheetId="2" hidden="1">{"'РП (2)'!$A$5:$S$150"}</definedName>
    <definedName name="ihjhf" hidden="1">{"'РП (2)'!$A$5:$S$150"}</definedName>
    <definedName name="II" localSheetId="2">#REF!</definedName>
    <definedName name="ii" hidden="1">#REF!</definedName>
    <definedName name="iii_contr" localSheetId="2" hidden="1">{"'таб 21'!$A$1:$U$24","'таб 21'!$A$1:$U$1"}</definedName>
    <definedName name="iii_contr" hidden="1">{"'таб 21'!$A$1:$U$24","'таб 21'!$A$1:$U$1"}</definedName>
    <definedName name="incl" localSheetId="2">#REF!</definedName>
    <definedName name="incl">#REF!</definedName>
    <definedName name="Index2" localSheetId="2" hidden="1">{#N/A,#N/A,FALSE,"Aging Summary";#N/A,#N/A,FALSE,"Ratio Analysis";#N/A,#N/A,FALSE,"Test 120 Day Accts";#N/A,#N/A,FALSE,"Tickmarks"}</definedName>
    <definedName name="Index2" hidden="1">{#N/A,#N/A,FALSE,"Aging Summary";#N/A,#N/A,FALSE,"Ratio Analysis";#N/A,#N/A,FALSE,"Test 120 Day Accts";#N/A,#N/A,FALSE,"Tickmarks"}</definedName>
    <definedName name="Indexation">#NAME?</definedName>
    <definedName name="inf" localSheetId="2">#REF!</definedName>
    <definedName name="inf">#REF!</definedName>
    <definedName name="INFL" localSheetId="2">#REF!</definedName>
    <definedName name="INFL">#REF!</definedName>
    <definedName name="info" localSheetId="2">#REF!</definedName>
    <definedName name="info">#REF!</definedName>
    <definedName name="INFO_BI_EXE_NAME" hidden="1">"BICEVOLUTION.EXE"</definedName>
    <definedName name="INFO_EXE_SERVER_PATH" hidden="1">"C:\Program Files\Pastel Evolution\BICEVOLUTION.EXE"</definedName>
    <definedName name="INFO_INSTANCE_ID" hidden="1">"0"</definedName>
    <definedName name="INFO_INSTANCE_NAME" hidden="1">"Budget template_20081031_11_13_32_1313.xls"</definedName>
    <definedName name="INFO_REPORT_CODE" hidden="1">""</definedName>
    <definedName name="INFO_REPORT_ID" hidden="1">"125"</definedName>
    <definedName name="INFO_REPORT_NAME" hidden="1">"Budget template"</definedName>
    <definedName name="INFO_RUN_USER" hidden="1">""</definedName>
    <definedName name="INFO_RUN_WORKSTATION" hidden="1">"TRANS-014L"</definedName>
    <definedName name="INPUTHeadcounts">#REF!,#REF!,#REF!,#REF!,#REF!</definedName>
    <definedName name="INRGR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RGR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tExp1Q">#NAME?</definedName>
    <definedName name="IntExp2Q">#NAME?</definedName>
    <definedName name="IntExp3Q">#NAME?</definedName>
    <definedName name="IntExp4Q">#NAME?</definedName>
    <definedName name="INVESTMENTS" localSheetId="2">#REF!</definedName>
    <definedName name="INVESTMENTS">#REF!</definedName>
    <definedName name="ioio" localSheetId="2" hidden="1">{#N/A,#N/A,FALSE,"Год 99."}</definedName>
    <definedName name="ioio" hidden="1">{#N/A,#N/A,FALSE,"Год 99."}</definedName>
    <definedName name="iokjhj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iokjhj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iop" localSheetId="2" hidden="1">{#N/A,#N/A,FALSE,"Год 99."}</definedName>
    <definedName name="iop" hidden="1">{#N/A,#N/A,FALSE,"Год 99."}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>"c1449"</definedName>
    <definedName name="IQ_ACCOUNT_CODE_INTEREST_PENALTIES">"c15741"</definedName>
    <definedName name="IQ_ACCOUNTING_FFIEC">"c13054"</definedName>
    <definedName name="IQ_ACCOUNTING_STANDARD" hidden="1">"c4539"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 localSheetId="2" hidden="1">"c2125"</definedName>
    <definedName name="IQ_ACQ_COST_SUB">"c16174"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_TAX_POSITIONS_CURRENT_YR">"c15733"</definedName>
    <definedName name="IQ_ADD_TAX_POSITIONS_PRIOR_YRS">"c15735"</definedName>
    <definedName name="IQ_ADDIN">"AUTO"</definedName>
    <definedName name="IQ_ADDITIONAL_NON_INT_INC_FDIC" hidden="1">"c6574"</definedName>
    <definedName name="IQ_ADDITIONS_NON_ACCRUAL_ASSET_DURING_QTR_FFIEC">"c15349"</definedName>
    <definedName name="IQ_ADJ_AVG_BANK_ASSETS">"c2671"</definedName>
    <definedName name="IQ_ADJUSTABLE_RATE_LOANS_FDIC" hidden="1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>"c2145"</definedName>
    <definedName name="IQ_ANALYST_EMAIL">"c13738"</definedName>
    <definedName name="IQ_ANALYST_NAME">"c13736"</definedName>
    <definedName name="IQ_ANALYST_PHONE">"c13737"</definedName>
    <definedName name="IQ_ANALYST_START_DATE">"c13740"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 localSheetId="2" hidden="1">"c2126"</definedName>
    <definedName name="IQ_ARPU">"c16134"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 hidden="1">"c4455"</definedName>
    <definedName name="IQ_AVG_INDUSTRY_REC_CIQ">"c4984"</definedName>
    <definedName name="IQ_AVG_INDUSTRY_REC_NO" hidden="1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>"c2154"</definedName>
    <definedName name="IQ_BENCHMARK_SPRD">"c2153"</definedName>
    <definedName name="IQ_BENCHMARK_YIELD" hidden="1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 localSheetId="2" hidden="1">"c89"</definedName>
    <definedName name="IQ_BIG_INT_BEAR_CD">"c11749"</definedName>
    <definedName name="IQ_BOARD_MEMBER">"c96"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DIRECT_FAX">"c15176"</definedName>
    <definedName name="IQ_BOARD_MEMBER_DIRECT_PHONE">"c15175"</definedName>
    <definedName name="IQ_BOARD_MEMBER_EMAIL">"c15177"</definedName>
    <definedName name="IQ_BOARD_MEMBER_ID">"c13756"</definedName>
    <definedName name="IQ_BOARD_MEMBER_MAIN_FAX">"c15174"</definedName>
    <definedName name="IQ_BOARD_MEMBER_MAIN_PHONE">"c15173"</definedName>
    <definedName name="IQ_BOARD_MEMBER_OFFICE_ADDRESS">"c15172"</definedName>
    <definedName name="IQ_BOARD_MEMBER_TITLE">"c97"</definedName>
    <definedName name="IQ_BOND_COUPON">"c2183"</definedName>
    <definedName name="IQ_BOND_COUPON_TYPE">"c2184"</definedName>
    <definedName name="IQ_BOND_LIST">"c13505"</definedName>
    <definedName name="IQ_BOND_PRICE">"c2162"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>"c15584"</definedName>
    <definedName name="IQ_BUS_SEG_PRIMARY_GIC_ABS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>"c15585"</definedName>
    <definedName name="IQ_BUS_SEG_SECONDARY_GIC_ABS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>"c1349"</definedName>
    <definedName name="IQ_BV_SHARE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 localSheetId="2" hidden="1">"c2869"</definedName>
    <definedName name="IQ_CABLE_ARPU">"c16151"</definedName>
    <definedName name="IQ_CABLE_ARPU_ANALOG" localSheetId="2" hidden="1">"c2864"</definedName>
    <definedName name="IQ_CABLE_ARPU_ANALOG">"c16146"</definedName>
    <definedName name="IQ_CABLE_ARPU_BASIC" localSheetId="2" hidden="1">"c2866"</definedName>
    <definedName name="IQ_CABLE_ARPU_BASIC">"c16148"</definedName>
    <definedName name="IQ_CABLE_ARPU_BBAND" localSheetId="2" hidden="1">"c2867"</definedName>
    <definedName name="IQ_CABLE_ARPU_BBAND">"c16150"</definedName>
    <definedName name="IQ_CABLE_ARPU_DIG" localSheetId="2" hidden="1">"c2865"</definedName>
    <definedName name="IQ_CABLE_ARPU_DIG">"c16147"</definedName>
    <definedName name="IQ_CABLE_ARPU_PHONE" localSheetId="2" hidden="1">"c2868"</definedName>
    <definedName name="IQ_CABLE_ARPU_PHONE">"c16149"</definedName>
    <definedName name="IQ_CABLE_BASIC_PENETRATION" localSheetId="2" hidden="1">"c2850"</definedName>
    <definedName name="IQ_CABLE_BASIC_PENETRATION">"c16130"</definedName>
    <definedName name="IQ_CABLE_BBAND_PENETRATION" localSheetId="2" hidden="1">"c2852"</definedName>
    <definedName name="IQ_CABLE_BBAND_PENETRATION">"c16131"</definedName>
    <definedName name="IQ_CABLE_BBAND_PENETRATION_THP" localSheetId="2" hidden="1">"c2851"</definedName>
    <definedName name="IQ_CABLE_BBAND_PENETRATION_THP">"c16132"</definedName>
    <definedName name="IQ_CABLE_CHURN" localSheetId="2" hidden="1">"c2874"</definedName>
    <definedName name="IQ_CABLE_CHURN">"c16156"</definedName>
    <definedName name="IQ_CABLE_CHURN_BASIC" localSheetId="2" hidden="1">"c2871"</definedName>
    <definedName name="IQ_CABLE_CHURN_BASIC">"c16153"</definedName>
    <definedName name="IQ_CABLE_CHURN_BBAND" localSheetId="2" hidden="1">"c2872"</definedName>
    <definedName name="IQ_CABLE_CHURN_BBAND">"c16155"</definedName>
    <definedName name="IQ_CABLE_CHURN_DIG" localSheetId="2" hidden="1">"c2870"</definedName>
    <definedName name="IQ_CABLE_CHURN_DIG">"c16152"</definedName>
    <definedName name="IQ_CABLE_CHURN_PHONE" localSheetId="2" hidden="1">"c2873"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 localSheetId="2" hidden="1">"c2848"</definedName>
    <definedName name="IQ_CABLE_MILES_PASSED">"c16145"</definedName>
    <definedName name="IQ_CABLE_OTHER_REV" localSheetId="2" hidden="1">"c2882"</definedName>
    <definedName name="IQ_CABLE_OTHER_REV">"c16164"</definedName>
    <definedName name="IQ_CABLE_PHONE_PENETRATION" localSheetId="2" hidden="1">"c2853"</definedName>
    <definedName name="IQ_CABLE_PHONE_PENETRATION">"c16133"</definedName>
    <definedName name="IQ_CABLE_PROGRAMMING_COSTS" localSheetId="2" hidden="1">"c2884"</definedName>
    <definedName name="IQ_CABLE_PROGRAMMING_COSTS">"c16144"</definedName>
    <definedName name="IQ_CABLE_REV_ADVERT" localSheetId="2" hidden="1">"c2880"</definedName>
    <definedName name="IQ_CABLE_REV_ADVERT">"c16162"</definedName>
    <definedName name="IQ_CABLE_REV_ANALOG" localSheetId="2" hidden="1">"c2875"</definedName>
    <definedName name="IQ_CABLE_REV_ANALOG">"c16157"</definedName>
    <definedName name="IQ_CABLE_REV_BASIC" localSheetId="2" hidden="1">"c2877"</definedName>
    <definedName name="IQ_CABLE_REV_BASIC">"c16159"</definedName>
    <definedName name="IQ_CABLE_REV_BBAND" localSheetId="2" hidden="1">"c2878"</definedName>
    <definedName name="IQ_CABLE_REV_BBAND">"c16160"</definedName>
    <definedName name="IQ_CABLE_REV_COMMERCIAL" localSheetId="2" hidden="1">"c2881"</definedName>
    <definedName name="IQ_CABLE_REV_COMMERCIAL">"c16163"</definedName>
    <definedName name="IQ_CABLE_REV_DIG" localSheetId="2" hidden="1">"c2876"</definedName>
    <definedName name="IQ_CABLE_REV_DIG">"c16158"</definedName>
    <definedName name="IQ_CABLE_REV_PHONE" localSheetId="2" hidden="1">"c2879"</definedName>
    <definedName name="IQ_CABLE_REV_PHONE">"c16161"</definedName>
    <definedName name="IQ_CABLE_RGU" localSheetId="2" hidden="1">"c2863"</definedName>
    <definedName name="IQ_CABLE_RGU">"c16143"</definedName>
    <definedName name="IQ_CABLE_SUBS_ANALOG" localSheetId="2" hidden="1">"c2855"</definedName>
    <definedName name="IQ_CABLE_SUBS_ANALOG">"c16135"</definedName>
    <definedName name="IQ_CABLE_SUBS_BASIC" localSheetId="2" hidden="1">"c2857"</definedName>
    <definedName name="IQ_CABLE_SUBS_BASIC">"c16137"</definedName>
    <definedName name="IQ_CABLE_SUBS_BBAND" localSheetId="2" hidden="1">"c2858"</definedName>
    <definedName name="IQ_CABLE_SUBS_BBAND">"c16138"</definedName>
    <definedName name="IQ_CABLE_SUBS_BUNDLED" localSheetId="2" hidden="1">"c2861"</definedName>
    <definedName name="IQ_CABLE_SUBS_BUNDLED">"c16141"</definedName>
    <definedName name="IQ_CABLE_SUBS_BUS_PHONE">"c15773"</definedName>
    <definedName name="IQ_CABLE_SUBS_DIG" localSheetId="2" hidden="1">"c2856"</definedName>
    <definedName name="IQ_CABLE_SUBS_DIG">"c16136"</definedName>
    <definedName name="IQ_CABLE_SUBS_LONG_DIST_PHONE">"c15775"</definedName>
    <definedName name="IQ_CABLE_SUBS_NON_VIDEO" localSheetId="2" hidden="1">"c2860"</definedName>
    <definedName name="IQ_CABLE_SUBS_NON_VIDEO">"c16140"</definedName>
    <definedName name="IQ_CABLE_SUBS_PHONE" localSheetId="2" hidden="1">"c2859"</definedName>
    <definedName name="IQ_CABLE_SUBS_PHONE">"c16139"</definedName>
    <definedName name="IQ_CABLE_SUBS_RES_PHONE">"c15772"</definedName>
    <definedName name="IQ_CABLE_SUBS_SATELITE">"c15771"</definedName>
    <definedName name="IQ_CABLE_SUBS_TOTAL" localSheetId="2" hidden="1">"c2862"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 localSheetId="2" hidden="1">"c2883"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Y">"c102"</definedName>
    <definedName name="IQ_CAL_Y_EST">"c6797"</definedName>
    <definedName name="IQ_CAL_Y_EST_CIQ">"c6809"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>"c110"</definedName>
    <definedName name="IQ_CAPEX_BR">"c111"</definedName>
    <definedName name="IQ_CAPEX_EST" hidden="1">"c3523"</definedName>
    <definedName name="IQ_CAPEX_EST_REUT" hidden="1">"c3969"</definedName>
    <definedName name="IQ_CAPEX_EST_THOM" hidden="1">"c5502"</definedName>
    <definedName name="IQ_CAPEX_FIN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>"c114"</definedName>
    <definedName name="IQ_CAPITAL_ALLOCATION_ADJUSTMENT_FOREIGN_FFIEC">"c15389"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 localSheetId="2" hidden="1">"c3460"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 hidden="1">"c6738"</definedName>
    <definedName name="IQ_CASH_DUE_BANKS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 hidden="1">"c4154"</definedName>
    <definedName name="IQ_CASH_FLOW_ACT_OR_EST_CIQ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 hidden="1">"c4164"</definedName>
    <definedName name="IQ_CASH_OPER_ACT_OR_EST_CIQ">"c4576"</definedName>
    <definedName name="IQ_CASH_OPER_AP">"c8888"</definedName>
    <definedName name="IQ_CASH_OPER_AP_ABS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>"c8926"</definedName>
    <definedName name="IQ_CASH_OPER_NAME_AP_ABS">"c8945"</definedName>
    <definedName name="IQ_CASH_OPER_NUM_EST" hidden="1">"c4246"</definedName>
    <definedName name="IQ_CASH_OPER_STDDEV_EST" hidden="1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>"c2217"</definedName>
    <definedName name="IQ_CFPS_ACT_OR_EST_REUT" hidden="1">"c5463"</definedName>
    <definedName name="IQ_CFPS_ACT_OR_EST_THOM" hidden="1">"c5301"</definedName>
    <definedName name="IQ_CFPS_EST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>"c1668"</definedName>
    <definedName name="IQ_CFPS_MEDIAN_EST_REUT" hidden="1">"c3845"</definedName>
    <definedName name="IQ_CFPS_MEDIAN_EST_THOM" hidden="1">"c4007"</definedName>
    <definedName name="IQ_CFPS_NUM_EST">"c1671"</definedName>
    <definedName name="IQ_CFPS_NUM_EST_REUT" hidden="1">"c3848"</definedName>
    <definedName name="IQ_CFPS_NUM_EST_THOM" hidden="1">"c4010"</definedName>
    <definedName name="IQ_CFPS_STDDEV_EST">"c1672"</definedName>
    <definedName name="IQ_CFPS_STDDEV_EST_REUT" hidden="1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MBS_ISSUED_AVAIL_SALE_FFIEC">"c12800"</definedName>
    <definedName name="IQ_CMBS_ISSUED_FFIEC">"c12786"</definedName>
    <definedName name="IQ_CMO_FDIC" hidden="1">"c6406"</definedName>
    <definedName name="IQ_COAL_SALES_TO_OPERATING_REVENUE_COAL">"c15954"</definedName>
    <definedName name="IQ_COGS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>"c177"</definedName>
    <definedName name="IQ_COMMERCIAL_FIRE_WRITTEN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 localSheetId="2" hidden="1">"c204"</definedName>
    <definedName name="IQ_COMMON_PER_ADR">"c13596"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 hidden="1">"c6522"</definedName>
    <definedName name="IQ_CONTRIBUTOR_CIQID">"c13742"</definedName>
    <definedName name="IQ_CONTRIBUTOR_NAME">"c13735"</definedName>
    <definedName name="IQ_CONTRIBUTOR_START_DATE">"c13741"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SION_COMMON_FFIEC">"c12964"</definedName>
    <definedName name="IQ_CONVERSION_PREF_FFIEC">"c12962"</definedName>
    <definedName name="IQ_CONVERT">"c2536"</definedName>
    <definedName name="IQ_CONVERT_PCT">"c2537"</definedName>
    <definedName name="IQ_CONVEXITY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>"c226"</definedName>
    <definedName name="IQ_COST_REVENUE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 hidden="1">"c8965"</definedName>
    <definedName name="IQ_COVERAGE_RATIO">"c15243"</definedName>
    <definedName name="IQ_COVERED_POPS" localSheetId="2" hidden="1">"c2124"</definedName>
    <definedName name="IQ_COVERED_POPS">"c16173"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 hidden="1">"c6652"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_FFIEC">"c15287"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>"c2185"</definedName>
    <definedName name="IQ_DAY_COUNT">"c2161"</definedName>
    <definedName name="IQ_DAYS_COVER_SHORT">"c1578"</definedName>
    <definedName name="IQ_DAYS_DELAY" hidden="1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1_5_INVEST_SECURITIES_FFIEC">"c13465"</definedName>
    <definedName name="IQ_DEBT_ADJ">"c2515"</definedName>
    <definedName name="IQ_DEBT_ADJ_PCT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>"c1356"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 hidden="1">"c5436"</definedName>
    <definedName name="IQ_DIFF_LASTCLOSE_TARGET_PRICE_THOM" hidden="1">"c5278"</definedName>
    <definedName name="IQ_DIG_SUB_BASIC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 hidden="1">"c4286"</definedName>
    <definedName name="IQ_DISTRIBUTABLE_CASH_SHARE_ACT_OR_EST_CIQ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HARES_BASIC">"c16189"</definedName>
    <definedName name="IQ_DISTRIBUTABLE_CASH_SHARES_DILUTED">"c16190"</definedName>
    <definedName name="IQ_DISTRIBUTABLE_CASH_STDDEV_EST" hidden="1">"c4294"</definedName>
    <definedName name="IQ_DIV_AMOUNT">"c3041"</definedName>
    <definedName name="IQ_DIV_PAYMENT_DATE">"c2205"</definedName>
    <definedName name="IQ_DIV_PAYMENT_TYPE">"c12752"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OM_OFFICE_DEPOSITS_TOT_DEPOSITS_FFIEC">"c13910"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REUT" hidden="1">"c5464"</definedName>
    <definedName name="IQ_DPS_ACT_OR_EST_THOM" hidden="1">"c5302"</definedName>
    <definedName name="IQ_DPS_EST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>"c1675"</definedName>
    <definedName name="IQ_DPS_MEDIAN_EST_REUT" hidden="1">"c3852"</definedName>
    <definedName name="IQ_DPS_MEDIAN_EST_THOM" hidden="1">"c4014"</definedName>
    <definedName name="IQ_DPS_NUM_EST">"c1678"</definedName>
    <definedName name="IQ_DPS_NUM_EST_REUT" hidden="1">"c3855"</definedName>
    <definedName name="IQ_DPS_NUM_EST_THOM" hidden="1">"c4017"</definedName>
    <definedName name="IQ_DPS_STDDEV_EST">"c1679"</definedName>
    <definedName name="IQ_DPS_STDDEV_EST_REUT" hidden="1">"c3856"</definedName>
    <definedName name="IQ_DPS_STDDEV_EST_THOM" hidden="1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REUT" hidden="1">"c5465"</definedName>
    <definedName name="IQ_EBIT_ACT_OR_EST_THOM" hidden="1">"c5303"</definedName>
    <definedName name="IQ_EBIT_EQ_INC">"c3498"</definedName>
    <definedName name="IQ_EBIT_EQ_INC_EXCL_SBC">"c3502"</definedName>
    <definedName name="IQ_EBIT_EST">"c1681"</definedName>
    <definedName name="IQ_EBIT_EST_REUT" hidden="1">"c5333"</definedName>
    <definedName name="IQ_EBIT_EST_THOM" hidden="1">"c5105"</definedName>
    <definedName name="IQ_EBIT_EXCL_SBC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OMEBUILDING_SALES">"c15815"</definedName>
    <definedName name="IQ_EBIT_INT">"c360"</definedName>
    <definedName name="IQ_EBIT_LOW_EST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>"c359"</definedName>
    <definedName name="IQ_EBIT_MEDIAN_EST">"c1682"</definedName>
    <definedName name="IQ_EBIT_MEDIAN_EST_REUT" hidden="1">"c5334"</definedName>
    <definedName name="IQ_EBIT_MEDIAN_EST_THOM" hidden="1">"c5106"</definedName>
    <definedName name="IQ_EBIT_NUM_EST">"c1685"</definedName>
    <definedName name="IQ_EBIT_NUM_EST_REUT" hidden="1">"c5337"</definedName>
    <definedName name="IQ_EBIT_NUM_EST_THOM" hidden="1">"c5109"</definedName>
    <definedName name="IQ_EBIT_OVER_IE">"c1369"</definedName>
    <definedName name="IQ_EBIT_SBC_ACT_OR_EST" hidden="1">"c4316"</definedName>
    <definedName name="IQ_EBIT_SBC_ACT_OR_EST_CIQ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>"c1686"</definedName>
    <definedName name="IQ_EBIT_STDDEV_EST_REUT" hidden="1">"c5338"</definedName>
    <definedName name="IQ_EBIT_STDDEV_EST_THOM" hidden="1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 hidden="1">"c5462"</definedName>
    <definedName name="IQ_EBITDA_ACT_OR_EST_THOM" hidden="1">"c5300"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 hidden="1">"c3658"</definedName>
    <definedName name="IQ_EBITDA_EXCL_SBC">"c3081"</definedName>
    <definedName name="IQ_EBITDA_GUIDANCE" hidden="1">"c4334"</definedName>
    <definedName name="IQ_EBITDA_HIGH_EST">"c370"</definedName>
    <definedName name="IQ_EBITDA_HIGH_EST_CIQ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 hidden="1">"c3659"</definedName>
    <definedName name="IQ_EBITDA_NUM_EST">"c374"</definedName>
    <definedName name="IQ_EBITDA_NUM_EST_CIQ">"c3626"</definedName>
    <definedName name="IQ_EBITDA_NUM_EST_REUT" hidden="1">"c3644"</definedName>
    <definedName name="IQ_EBITDA_NUM_EST_THOM" hidden="1">"c3662"</definedName>
    <definedName name="IQ_EBITDA_OVER_TOTAL_IE">"c1371"</definedName>
    <definedName name="IQ_EBITDA_SBC_ACT_OR_EST" hidden="1">"c4337"</definedName>
    <definedName name="IQ_EBITDA_SBC_ACT_OR_EST_CIQ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 hidden="1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HOMEBUILDING_SALES">"c15816"</definedName>
    <definedName name="IQ_EBT_INCL_MARGIN">"c387"</definedName>
    <definedName name="IQ_EBT_INS">"c388"</definedName>
    <definedName name="IQ_EBT_LOW_GUIDANCE" hidden="1">"c4213"</definedName>
    <definedName name="IQ_EBT_RE">"c6215"</definedName>
    <definedName name="IQ_EBT_REIT">"c389"</definedName>
    <definedName name="IQ_EBT_SBC_ACT_OR_EST" hidden="1">"c4350"</definedName>
    <definedName name="IQ_EBT_SBC_ACT_OR_EST_CIQ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>"c8982"</definedName>
    <definedName name="IQ_EBT_UTI">"c390"</definedName>
    <definedName name="IQ_ECO_METRIC_6825_UNUSED">"c6825"</definedName>
    <definedName name="IQ_ECO_METRIC_6825_UNUSED_UNUSED_UNUSED" hidden="1">"c6825"</definedName>
    <definedName name="IQ_ECO_METRIC_6839_UNUSED">"c6839"</definedName>
    <definedName name="IQ_ECO_METRIC_6839_UNUSED_UNUSED_UNUSED" hidden="1">"c6839"</definedName>
    <definedName name="IQ_ECO_METRIC_6896_UNUSED">"c6896"</definedName>
    <definedName name="IQ_ECO_METRIC_6896_UNUSED_UNUSED_UNUSED" hidden="1">"c6896"</definedName>
    <definedName name="IQ_ECO_METRIC_6897_UNUSED">"c6897"</definedName>
    <definedName name="IQ_ECO_METRIC_6897_UNUSED_UNUSED_UNUSED" hidden="1">"c6897"</definedName>
    <definedName name="IQ_ECO_METRIC_6927">"c6927"</definedName>
    <definedName name="IQ_ECO_METRIC_6988_UNUSED">"c6988"</definedName>
    <definedName name="IQ_ECO_METRIC_6988_UNUSED_UNUSED_UNUSED" hidden="1">"c6988"</definedName>
    <definedName name="IQ_ECO_METRIC_7045_UNUSED">"c7045"</definedName>
    <definedName name="IQ_ECO_METRIC_7045_UNUSED_UNUSED_UNUSED" hidden="1">"c7045"</definedName>
    <definedName name="IQ_ECO_METRIC_7059_UNUSED">"c7059"</definedName>
    <definedName name="IQ_ECO_METRIC_7059_UNUSED_UNUSED_UNUSED" hidden="1">"c7059"</definedName>
    <definedName name="IQ_ECO_METRIC_7116_UNUSED">"c7116"</definedName>
    <definedName name="IQ_ECO_METRIC_7116_UNUSED_UNUSED_UNUSED" hidden="1">"c7116"</definedName>
    <definedName name="IQ_ECO_METRIC_7117_UNUSED">"c7117"</definedName>
    <definedName name="IQ_ECO_METRIC_7117_UNUSED_UNUSED_UNUSED" hidden="1">"c7117"</definedName>
    <definedName name="IQ_ECO_METRIC_7147">"c7147"</definedName>
    <definedName name="IQ_ECO_METRIC_7208_UNUSED">"c7208"</definedName>
    <definedName name="IQ_ECO_METRIC_7208_UNUSED_UNUSED_UNUSED" hidden="1">"c7208"</definedName>
    <definedName name="IQ_ECO_METRIC_7265_UNUSED">"c7265"</definedName>
    <definedName name="IQ_ECO_METRIC_7265_UNUSED_UNUSED_UNUSED" hidden="1">"c7265"</definedName>
    <definedName name="IQ_ECO_METRIC_7279_UNUSED">"c7279"</definedName>
    <definedName name="IQ_ECO_METRIC_7279_UNUSED_UNUSED_UNUSED" hidden="1">"c7279"</definedName>
    <definedName name="IQ_ECO_METRIC_7336_UNUSED">"c7336"</definedName>
    <definedName name="IQ_ECO_METRIC_7336_UNUSED_UNUSED_UNUSED" hidden="1">"c7336"</definedName>
    <definedName name="IQ_ECO_METRIC_7337_UNUSED">"c7337"</definedName>
    <definedName name="IQ_ECO_METRIC_7337_UNUSED_UNUSED_UNUSED" hidden="1">"c7337"</definedName>
    <definedName name="IQ_ECO_METRIC_7367">"c7367"</definedName>
    <definedName name="IQ_ECO_METRIC_7428_UNUSED">"c7428"</definedName>
    <definedName name="IQ_ECO_METRIC_7428_UNUSED_UNUSED_UNUSED" hidden="1">"c7428"</definedName>
    <definedName name="IQ_ECO_METRIC_7556_UNUSED">"c7556"</definedName>
    <definedName name="IQ_ECO_METRIC_7556_UNUSED_UNUSED_UNUSED" hidden="1">"c7556"</definedName>
    <definedName name="IQ_ECO_METRIC_7557_UNUSED">"c7557"</definedName>
    <definedName name="IQ_ECO_METRIC_7557_UNUSED_UNUSED_UNUSED" hidden="1">"c7557"</definedName>
    <definedName name="IQ_ECO_METRIC_7587">"c7587"</definedName>
    <definedName name="IQ_ECO_METRIC_7648_UNUSED">"c7648"</definedName>
    <definedName name="IQ_ECO_METRIC_7648_UNUSED_UNUSED_UNUSED" hidden="1">"c7648"</definedName>
    <definedName name="IQ_ECO_METRIC_7704">"c7704"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18">"c7718"</definedName>
    <definedName name="IQ_ECO_METRIC_7719_UNUSED">"c7719"</definedName>
    <definedName name="IQ_ECO_METRIC_7719_UNUSED_UNUSED_UNUSED" hidden="1">"c7719"</definedName>
    <definedName name="IQ_ECO_METRIC_7776_UNUSED">"c7776"</definedName>
    <definedName name="IQ_ECO_METRIC_7776_UNUSED_UNUSED_UNUSED" hidden="1">"c7776"</definedName>
    <definedName name="IQ_ECO_METRIC_7777_UNUSED">"c7777"</definedName>
    <definedName name="IQ_ECO_METRIC_7777_UNUSED_UNUSED_UNUSED" hidden="1">"c7777"</definedName>
    <definedName name="IQ_ECO_METRIC_7807">"c7807"</definedName>
    <definedName name="IQ_ECO_METRIC_7811">"c7811"</definedName>
    <definedName name="IQ_ECO_METRIC_7868_UNUSED">"c7868"</definedName>
    <definedName name="IQ_ECO_METRIC_7868_UNUSED_UNUSED_UNUSED" hidden="1">"c7868"</definedName>
    <definedName name="IQ_ECO_METRIC_7873">"c7873"</definedName>
    <definedName name="IQ_ECO_METRIC_7924">"c7924"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38">"c7938"</definedName>
    <definedName name="IQ_ECO_METRIC_7939_UNUSED">"c7939"</definedName>
    <definedName name="IQ_ECO_METRIC_7939_UNUSED_UNUSED_UNUSED" hidden="1">"c7939"</definedName>
    <definedName name="IQ_ECO_METRIC_7996_UNUSED">"c7996"</definedName>
    <definedName name="IQ_ECO_METRIC_7996_UNUSED_UNUSED_UNUSED" hidden="1">"c7996"</definedName>
    <definedName name="IQ_ECO_METRIC_7997_UNUSED">"c7997"</definedName>
    <definedName name="IQ_ECO_METRIC_7997_UNUSED_UNUSED_UNUSED" hidden="1">"c7997"</definedName>
    <definedName name="IQ_ECO_METRIC_8027">"c8027"</definedName>
    <definedName name="IQ_ECO_METRIC_8031">"c8031"</definedName>
    <definedName name="IQ_ECO_METRIC_8088_UNUSED">"c8088"</definedName>
    <definedName name="IQ_ECO_METRIC_8088_UNUSED_UNUSED_UNUSED" hidden="1">"c8088"</definedName>
    <definedName name="IQ_ECO_METRIC_8093">"c8093"</definedName>
    <definedName name="IQ_ECO_METRIC_8144">"c8144"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58">"c8158"</definedName>
    <definedName name="IQ_ECO_METRIC_8159_UNUSED">"c8159"</definedName>
    <definedName name="IQ_ECO_METRIC_8159_UNUSED_UNUSED_UNUSED" hidden="1">"c8159"</definedName>
    <definedName name="IQ_ECO_METRIC_8216_UNUSED">"c8216"</definedName>
    <definedName name="IQ_ECO_METRIC_8216_UNUSED_UNUSED_UNUSED" hidden="1">"c8216"</definedName>
    <definedName name="IQ_ECO_METRIC_8217_UNUSED">"c8217"</definedName>
    <definedName name="IQ_ECO_METRIC_8217_UNUSED_UNUSED_UNUSED" hidden="1">"c8217"</definedName>
    <definedName name="IQ_ECO_METRIC_8247">"c8247"</definedName>
    <definedName name="IQ_ECO_METRIC_8251">"c8251"</definedName>
    <definedName name="IQ_ECO_METRIC_8308_UNUSED">"c8308"</definedName>
    <definedName name="IQ_ECO_METRIC_8308_UNUSED_UNUSED_UNUSED" hidden="1">"c8308"</definedName>
    <definedName name="IQ_ECO_METRIC_8313">"c8313"</definedName>
    <definedName name="IQ_ECO_METRIC_8366">"c8366"</definedName>
    <definedName name="IQ_ECO_METRIC_8378">"c8378"</definedName>
    <definedName name="IQ_ECO_METRIC_8436_UNUSED">"c8436"</definedName>
    <definedName name="IQ_ECO_METRIC_8436_UNUSED_UNUSED_UNUSED" hidden="1">"c8436"</definedName>
    <definedName name="IQ_ECO_METRIC_8437_UNUSED">"c8437"</definedName>
    <definedName name="IQ_ECO_METRIC_8437_UNUSED_UNUSED_UNUSED" hidden="1">"c8437"</definedName>
    <definedName name="IQ_ECO_METRIC_8467">"c8467"</definedName>
    <definedName name="IQ_ECO_METRIC_8471">"c8471"</definedName>
    <definedName name="IQ_ECO_METRIC_8528_UNUSED">"c8528"</definedName>
    <definedName name="IQ_ECO_METRIC_8528_UNUSED_UNUSED_UNUSED" hidden="1">"c8528"</definedName>
    <definedName name="IQ_ECO_METRIC_8533">"c8533"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OTHER">"c15615"</definedName>
    <definedName name="IQ_ECS_NUM_SHAREHOLDERS_OTHER_ABS">"c15632"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 hidden="1">"IQ_EPS"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 hidden="1">"c5460"</definedName>
    <definedName name="IQ_EPS_ACT_OR_EST_THOM" hidden="1">"c5298"</definedName>
    <definedName name="IQ_EPS_AP">"c8880"</definedName>
    <definedName name="IQ_EPS_AP_ABS">"c8899"</definedName>
    <definedName name="IQ_EPS_EST">"c399"</definedName>
    <definedName name="IQ_EPS_EST_BOTTOM_UP" hidden="1">"c5489"</definedName>
    <definedName name="IQ_EPS_EST_BOTTOM_UP_CIQ">"c12026"</definedName>
    <definedName name="IQ_EPS_EST_BOTTOM_UP_REUT" hidden="1">"c5497"</definedName>
    <definedName name="IQ_EPS_EST_BOTTOM_UP_THOM" hidden="1">"c5647"</definedName>
    <definedName name="IQ_EPS_EST_CIQ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>"c2223"</definedName>
    <definedName name="IQ_EPS_GW_ACT_OR_EST_CIQ">"c5066"</definedName>
    <definedName name="IQ_EPS_GW_ACT_OR_EST_REUT" hidden="1">"c5469"</definedName>
    <definedName name="IQ_EPS_GW_EST">"c1737"</definedName>
    <definedName name="IQ_EPS_GW_EST_BOTTOM_UP" hidden="1">"c5491"</definedName>
    <definedName name="IQ_EPS_GW_EST_BOTTOM_UP_CIQ">"c12028"</definedName>
    <definedName name="IQ_EPS_GW_EST_BOTTOM_UP_REUT" hidden="1">"c5499"</definedName>
    <definedName name="IQ_EPS_GW_EST_CIQ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>"c1739"</definedName>
    <definedName name="IQ_EPS_GW_HIGH_EST_CIQ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>"c1740"</definedName>
    <definedName name="IQ_EPS_GW_LOW_EST_CIQ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 hidden="1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 hidden="1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 hidden="1">"c5138"</definedName>
    <definedName name="IQ_EPS_HIGH_EST">"c400"</definedName>
    <definedName name="IQ_EPS_HIGH_EST_CIQ">"c4995"</definedName>
    <definedName name="IQ_EPS_HIGH_EST_REUT" hidden="1">"c5454"</definedName>
    <definedName name="IQ_EPS_HIGH_EST_THOM" hidden="1">"c5291"</definedName>
    <definedName name="IQ_EPS_LOW_EST">"c401"</definedName>
    <definedName name="IQ_EPS_LOW_EST_CIQ">"c4996"</definedName>
    <definedName name="IQ_EPS_LOW_EST_REUT" hidden="1">"c5455"</definedName>
    <definedName name="IQ_EPS_LOW_EST_THOM" hidden="1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 hidden="1">"c5293"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BOTTOM_UP" hidden="1">"c5490"</definedName>
    <definedName name="IQ_EPS_NORM_EST_BOTTOM_UP_CIQ">"c12027"</definedName>
    <definedName name="IQ_EPS_NORM_EST_BOTTOM_UP_REUT" hidden="1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>"c2224"</definedName>
    <definedName name="IQ_EPS_REPORT_ACT_OR_EST_CIQ">"c5067"</definedName>
    <definedName name="IQ_EPS_REPORT_ACT_OR_EST_REUT" hidden="1">"c5470"</definedName>
    <definedName name="IQ_EPS_REPORT_ACT_OR_EST_THOM" hidden="1">"c5307"</definedName>
    <definedName name="IQ_EPS_REPORTED_EST">"c1744"</definedName>
    <definedName name="IQ_EPS_REPORTED_EST_BOTTOM_UP" hidden="1">"c5492"</definedName>
    <definedName name="IQ_EPS_REPORTED_EST_BOTTOM_UP_CIQ">"c12029"</definedName>
    <definedName name="IQ_EPS_REPORTED_EST_BOTTOM_UP_REUT" hidden="1">"c5500"</definedName>
    <definedName name="IQ_EPS_REPORTED_EST_CIQ">"c4730"</definedName>
    <definedName name="IQ_EPS_REPORTED_EST_REUT" hidden="1">"c5396"</definedName>
    <definedName name="IQ_EPS_REPORTED_EST_THOM" hidden="1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 hidden="1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 hidden="1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 hidden="1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 hidden="1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 hidden="1">"c5289"</definedName>
    <definedName name="IQ_EQUITY_AFFIL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"c1390"</definedName>
    <definedName name="IQ_ESOP_DEBT">"c1597"</definedName>
    <definedName name="IQ_ESOP_DEBT_GUARANTEED_FFIEC">"c12971"</definedName>
    <definedName name="IQ_ESOP_OVER_TOTAL">"c13768"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>"c1680"</definedName>
    <definedName name="IQ_EST_ACT_DPS_REUT" hidden="1">"c3857"</definedName>
    <definedName name="IQ_EST_ACT_DPS_THOM" hidden="1">"c4019"</definedName>
    <definedName name="IQ_EST_ACT_EBIT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>"c1664"</definedName>
    <definedName name="IQ_EST_ACT_EBITDA_CIQ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 hidden="1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 hidden="1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>"c1722"</definedName>
    <definedName name="IQ_EST_ACT_NI_GW">"c1729"</definedName>
    <definedName name="IQ_EST_ACT_NI_GW_REUT" hidden="1">"c5381"</definedName>
    <definedName name="IQ_EST_ACT_NI_REPORTED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>"c1694"</definedName>
    <definedName name="IQ_EST_ACT_OPER_INC_REUT" hidden="1">"c5346"</definedName>
    <definedName name="IQ_EST_ACT_OPER_INC_THOM" hidden="1">"c5118"</definedName>
    <definedName name="IQ_EST_ACT_PRETAX_GW_INC">"c1708"</definedName>
    <definedName name="IQ_EST_ACT_PRETAX_GW_INC_REUT" hidden="1">"c5360"</definedName>
    <definedName name="IQ_EST_ACT_PRETAX_INC">"c1701"</definedName>
    <definedName name="IQ_EST_ACT_PRETAX_INC_REUT" hidden="1">"c5353"</definedName>
    <definedName name="IQ_EST_ACT_PRETAX_INC_THOM" hidden="1">"c5125"</definedName>
    <definedName name="IQ_EST_ACT_PRETAX_REPORT_INC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>"c2113"</definedName>
    <definedName name="IQ_EST_ACT_REV_CIQ">"c3666"</definedName>
    <definedName name="IQ_EST_ACT_REV_REUT" hidden="1">"c3835"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>"c1871"</definedName>
    <definedName name="IQ_EST_CFPS_DIFF_REUT" hidden="1">"c3892"</definedName>
    <definedName name="IQ_EST_CFPS_DIFF_THOM" hidden="1">"c5188"</definedName>
    <definedName name="IQ_EST_CFPS_GROWTH_1YR">"c1774"</definedName>
    <definedName name="IQ_EST_CFPS_GROWTH_1YR_REUT" hidden="1">"c3878"</definedName>
    <definedName name="IQ_EST_CFPS_GROWTH_1YR_THOM" hidden="1">"c5174"</definedName>
    <definedName name="IQ_EST_CFPS_GROWTH_2YR">"c1775"</definedName>
    <definedName name="IQ_EST_CFPS_GROWTH_2YR_REUT" hidden="1">"c3879"</definedName>
    <definedName name="IQ_EST_CFPS_GROWTH_2YR_THOM" hidden="1">"c5175"</definedName>
    <definedName name="IQ_EST_CFPS_GROWTH_Q_1YR">"c1776"</definedName>
    <definedName name="IQ_EST_CFPS_GROWTH_Q_1YR_REUT" hidden="1">"c3880"</definedName>
    <definedName name="IQ_EST_CFPS_GROWTH_Q_1YR_THOM" hidden="1">"c5176"</definedName>
    <definedName name="IQ_EST_CFPS_SEQ_GROWTH_Q">"c1777"</definedName>
    <definedName name="IQ_EST_CFPS_SEQ_GROWTH_Q_REUT" hidden="1">"c3881"</definedName>
    <definedName name="IQ_EST_CFPS_SEQ_GROWTH_Q_THOM" hidden="1">"c5177"</definedName>
    <definedName name="IQ_EST_CFPS_SURPRISE_PERCENT">"c1872"</definedName>
    <definedName name="IQ_EST_CFPS_SURPRISE_PERCENT_REUT" hidden="1">"c3893"</definedName>
    <definedName name="IQ_EST_CFPS_SURPRISE_PERCENT_THOM" hidden="1">"c5189"</definedName>
    <definedName name="IQ_EST_CURRENCY">"c2140"</definedName>
    <definedName name="IQ_EST_CURRENCY_CIQ">"c4769"</definedName>
    <definedName name="IQ_EST_CURRENCY_REUT" hidden="1">"c5437"</definedName>
    <definedName name="IQ_EST_CURRENCY_THOM" hidden="1">"c5280"</definedName>
    <definedName name="IQ_EST_DATE">"c1634"</definedName>
    <definedName name="IQ_EST_DATE_CIQ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>"c1873"</definedName>
    <definedName name="IQ_EST_DPS_DIFF_REUT" hidden="1">"c3894"</definedName>
    <definedName name="IQ_EST_DPS_DIFF_THOM" hidden="1">"c5190"</definedName>
    <definedName name="IQ_EST_DPS_GROWTH_1YR">"c1778"</definedName>
    <definedName name="IQ_EST_DPS_GROWTH_1YR_REUT" hidden="1">"c3882"</definedName>
    <definedName name="IQ_EST_DPS_GROWTH_1YR_THOM" hidden="1">"c5178"</definedName>
    <definedName name="IQ_EST_DPS_GROWTH_2YR">"c1779"</definedName>
    <definedName name="IQ_EST_DPS_GROWTH_2YR_REUT" hidden="1">"c3883"</definedName>
    <definedName name="IQ_EST_DPS_GROWTH_2YR_THOM" hidden="1">"c5179"</definedName>
    <definedName name="IQ_EST_DPS_GROWTH_Q_1YR">"c1780"</definedName>
    <definedName name="IQ_EST_DPS_GROWTH_Q_1YR_REUT" hidden="1">"c3884"</definedName>
    <definedName name="IQ_EST_DPS_GROWTH_Q_1YR_THOM" hidden="1">"c5180"</definedName>
    <definedName name="IQ_EST_DPS_SEQ_GROWTH_Q">"c1781"</definedName>
    <definedName name="IQ_EST_DPS_SEQ_GROWTH_Q_REUT" hidden="1">"c3885"</definedName>
    <definedName name="IQ_EST_DPS_SEQ_GROWTH_Q_THOM" hidden="1">"c5181"</definedName>
    <definedName name="IQ_EST_DPS_SURPRISE_PERCENT">"c1874"</definedName>
    <definedName name="IQ_EST_DPS_SURPRISE_PERCENT_REUT" hidden="1">"c3895"</definedName>
    <definedName name="IQ_EST_DPS_SURPRISE_PERCENT_THOM" hidden="1">"c5191"</definedName>
    <definedName name="IQ_EST_EBIT_DIFF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>"c1876"</definedName>
    <definedName name="IQ_EST_EBIT_SURPRISE_PERCENT_REUT" hidden="1">"c5414"</definedName>
    <definedName name="IQ_EST_EBIT_SURPRISE_PERCENT_THOM" hidden="1">"c5193"</definedName>
    <definedName name="IQ_EST_EBITDA_DIFF">"c1867"</definedName>
    <definedName name="IQ_EST_EBITDA_DIFF_CIQ">"c3719"</definedName>
    <definedName name="IQ_EST_EBITDA_DIFF_REUT" hidden="1">"c3888"</definedName>
    <definedName name="IQ_EST_EBITDA_DIFF_THOM" hidden="1">"c5184"</definedName>
    <definedName name="IQ_EST_EBITDA_GROWTH_1YR">"c1766"</definedName>
    <definedName name="IQ_EST_EBITDA_GROWTH_1YR_CIQ">"c3695"</definedName>
    <definedName name="IQ_EST_EBITDA_GROWTH_1YR_REUT" hidden="1">"c3864"</definedName>
    <definedName name="IQ_EST_EBITDA_GROWTH_1YR_THOM" hidden="1">"c5161"</definedName>
    <definedName name="IQ_EST_EBITDA_GROWTH_2YR">"c1767"</definedName>
    <definedName name="IQ_EST_EBITDA_GROWTH_2YR_CIQ">"c3696"</definedName>
    <definedName name="IQ_EST_EBITDA_GROWTH_2YR_REUT" hidden="1">"c3865"</definedName>
    <definedName name="IQ_EST_EBITDA_GROWTH_2YR_THOM" hidden="1">"c5162"</definedName>
    <definedName name="IQ_EST_EBITDA_GROWTH_Q_1YR">"c1768"</definedName>
    <definedName name="IQ_EST_EBITDA_GROWTH_Q_1YR_CIQ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>"c1769"</definedName>
    <definedName name="IQ_EST_EBITDA_SEQ_GROWTH_Q_CIQ">"c3698"</definedName>
    <definedName name="IQ_EST_EBITDA_SEQ_GROWTH_Q_REUT" hidden="1">"c3867"</definedName>
    <definedName name="IQ_EST_EBITDA_SEQ_GROWTH_Q_THOM" hidden="1">"c5164"</definedName>
    <definedName name="IQ_EST_EBITDA_SURPRISE_PERCENT">"c1868"</definedName>
    <definedName name="IQ_EST_EBITDA_SURPRISE_PERCENT_CIQ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>"c1864"</definedName>
    <definedName name="IQ_EST_EPS_DIFF_CIQ">"c4999"</definedName>
    <definedName name="IQ_EST_EPS_DIFF_REUT" hidden="1">"c5458"</definedName>
    <definedName name="IQ_EST_EPS_DIFF_THOM" hidden="1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 hidden="1">"c3664"</definedName>
    <definedName name="IQ_EST_EPS_GROWTH_2YR">"c1637"</definedName>
    <definedName name="IQ_EST_EPS_GROWTH_2YR_CIQ">"c3689"</definedName>
    <definedName name="IQ_EST_EPS_GROWTH_2YR_REUT" hidden="1">"c3858"</definedName>
    <definedName name="IQ_EST_EPS_GROWTH_2YR_THOM" hidden="1">"c5154"</definedName>
    <definedName name="IQ_EST_EPS_GROWTH_5YR">"c1655"</definedName>
    <definedName name="IQ_EST_EPS_GROWTH_5YR_BOTTOM_UP" hidden="1">"c5487"</definedName>
    <definedName name="IQ_EST_EPS_GROWTH_5YR_BOTTOM_UP_CIQ">"c12024"</definedName>
    <definedName name="IQ_EST_EPS_GROWTH_5YR_BOTTOM_UP_REUT" hidden="1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 hidden="1">"c5322"</definedName>
    <definedName name="IQ_EST_EPS_GROWTH_5YR_HIGH_THOM" hidden="1">"c5101"</definedName>
    <definedName name="IQ_EST_EPS_GROWTH_5YR_LOW">"c1658"</definedName>
    <definedName name="IQ_EST_EPS_GROWTH_5YR_LOW_CIQ">"c4664"</definedName>
    <definedName name="IQ_EST_EPS_GROWTH_5YR_LOW_REUT" hidden="1">"c5323"</definedName>
    <definedName name="IQ_EST_EPS_GROWTH_5YR_LOW_THOM" hidden="1">"c5102"</definedName>
    <definedName name="IQ_EST_EPS_GROWTH_5YR_MEDIAN">"c1656"</definedName>
    <definedName name="IQ_EST_EPS_GROWTH_5YR_MEDIAN_CIQ">"c5480"</definedName>
    <definedName name="IQ_EST_EPS_GROWTH_5YR_MEDIAN_REUT" hidden="1">"c5321"</definedName>
    <definedName name="IQ_EST_EPS_GROWTH_5YR_MEDIAN_THOM" hidden="1">"c5100"</definedName>
    <definedName name="IQ_EST_EPS_GROWTH_5YR_NUM">"c1659"</definedName>
    <definedName name="IQ_EST_EPS_GROWTH_5YR_NUM_CIQ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 hidden="1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 hidden="1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 hidden="1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 hidden="1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>"c1764"</definedName>
    <definedName name="IQ_EST_EPS_SEQ_GROWTH_Q_CIQ">"c3690"</definedName>
    <definedName name="IQ_EST_EPS_SEQ_GROWTH_Q_REUT" hidden="1">"c3859"</definedName>
    <definedName name="IQ_EST_EPS_SEQ_GROWTH_Q_THOM" hidden="1">"c5156"</definedName>
    <definedName name="IQ_EST_EPS_SURPRISE">"c1635"</definedName>
    <definedName name="IQ_EST_EPS_SURPRISE_PERCENT">"c1635"</definedName>
    <definedName name="IQ_EST_EPS_SURPRISE_PERCENT_CIQ">"c5000"</definedName>
    <definedName name="IQ_EST_EPS_SURPRISE_PERCENT_REUT" hidden="1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>"c1869"</definedName>
    <definedName name="IQ_EST_FFO_DIFF_REUT" hidden="1">"c3890"</definedName>
    <definedName name="IQ_EST_FFO_DIFF_THOM" hidden="1">"c5186"</definedName>
    <definedName name="IQ_EST_FFO_GROWTH_1YR">"c1770"</definedName>
    <definedName name="IQ_EST_FFO_GROWTH_1YR_REUT" hidden="1">"c3874"</definedName>
    <definedName name="IQ_EST_FFO_GROWTH_1YR_THOM" hidden="1">"c5170"</definedName>
    <definedName name="IQ_EST_FFO_GROWTH_2YR">"c1771"</definedName>
    <definedName name="IQ_EST_FFO_GROWTH_2YR_REUT" hidden="1">"c3875"</definedName>
    <definedName name="IQ_EST_FFO_GROWTH_2YR_THOM" hidden="1">"c5171"</definedName>
    <definedName name="IQ_EST_FFO_GROWTH_Q_1YR">"c1772"</definedName>
    <definedName name="IQ_EST_FFO_GROWTH_Q_1YR_REUT" hidden="1">"c3876"</definedName>
    <definedName name="IQ_EST_FFO_GROWTH_Q_1YR_THOM" hidden="1">"c5172"</definedName>
    <definedName name="IQ_EST_FFO_SEQ_GROWTH_Q">"c1773"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>"c1870"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>"c1895"</definedName>
    <definedName name="IQ_EST_NAV_SHARE_SURPRISE_PERCENT" hidden="1">"c1896"</definedName>
    <definedName name="IQ_EST_NAV_SURPRISE_PERCENT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>"c1885"</definedName>
    <definedName name="IQ_EST_NI_DIFF_REUT" hidden="1">"c5423"</definedName>
    <definedName name="IQ_EST_NI_DIFF_THOM" hidden="1">"c5198"</definedName>
    <definedName name="IQ_EST_NI_GW_DIFF">"c1887"</definedName>
    <definedName name="IQ_EST_NI_GW_DIFF_REUT" hidden="1">"c5425"</definedName>
    <definedName name="IQ_EST_NI_GW_SURPRISE_PERCENT">"c1888"</definedName>
    <definedName name="IQ_EST_NI_GW_SURPRISE_PERCENT_REUT" hidden="1">"c5426"</definedName>
    <definedName name="IQ_EST_NI_REPORT_DIFF">"c1889"</definedName>
    <definedName name="IQ_EST_NI_REPORT_DIFF_REUT" hidden="1">"c5427"</definedName>
    <definedName name="IQ_EST_NI_REPORT_SURPRISE_PERCENT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>"c1886"</definedName>
    <definedName name="IQ_EST_NI_SURPRISE_PERCENT_REUT" hidden="1">"c5424"</definedName>
    <definedName name="IQ_EST_NI_SURPRISE_PERCENT_THOM" hidden="1">"c5199"</definedName>
    <definedName name="IQ_EST_NUM_BUY">"c1759"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 hidden="1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 hidden="1">"c5165"</definedName>
    <definedName name="IQ_EST_NUM_HOLD">"c1761"</definedName>
    <definedName name="IQ_EST_NUM_LOW_REC">"c5651"</definedName>
    <definedName name="IQ_EST_NUM_LOW_REC_CIQ">"c3703"</definedName>
    <definedName name="IQ_EST_NUM_LOW_REC_REUT" hidden="1">"c3872"</definedName>
    <definedName name="IQ_EST_NUM_LOW_REC_THOM" hidden="1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 hidden="1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 hidden="1">"c5167"</definedName>
    <definedName name="IQ_EST_NUM_NO_OPINION">"c1758"</definedName>
    <definedName name="IQ_EST_NUM_NO_OPINION_CIQ">"c3699"</definedName>
    <definedName name="IQ_EST_NUM_NO_OPINION_REUT" hidden="1">"c3868"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DIFF_REUT" hidden="1">"c5415"</definedName>
    <definedName name="IQ_EST_OPER_INC_DIFF_THOM" hidden="1">"c5194"</definedName>
    <definedName name="IQ_EST_OPER_INC_SURPRISE_PERCENT">"c1878"</definedName>
    <definedName name="IQ_EST_OPER_INC_SURPRISE_PERCENT_REUT" hidden="1">"c5416"</definedName>
    <definedName name="IQ_EST_OPER_INC_SURPRISE_PERCENT_THOM" hidden="1">"c5195"</definedName>
    <definedName name="IQ_EST_PRE_TAX_DIFF">"c1879"</definedName>
    <definedName name="IQ_EST_PRE_TAX_DIFF_REUT" hidden="1">"c5417"</definedName>
    <definedName name="IQ_EST_PRE_TAX_DIFF_THOM" hidden="1">"c5196"</definedName>
    <definedName name="IQ_EST_PRE_TAX_GW_DIFF">"c1881"</definedName>
    <definedName name="IQ_EST_PRE_TAX_GW_DIFF_REUT" hidden="1">"c5419"</definedName>
    <definedName name="IQ_EST_PRE_TAX_GW_SURPRISE_PERCENT">"c1882"</definedName>
    <definedName name="IQ_EST_PRE_TAX_GW_SURPRISE_PERCENT_REUT" hidden="1">"c5420"</definedName>
    <definedName name="IQ_EST_PRE_TAX_REPORT_DIFF">"c1883"</definedName>
    <definedName name="IQ_EST_PRE_TAX_REPORT_DIFF_REUT" hidden="1">"c5421"</definedName>
    <definedName name="IQ_EST_PRE_TAX_REPORT_SURPRISE_PERCENT">"c1884"</definedName>
    <definedName name="IQ_EST_PRE_TAX_REPORT_SURPRISE_PERCENT_REUT" hidden="1">"c5422"</definedName>
    <definedName name="IQ_EST_PRE_TAX_SURPRISE_PERCENT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>"c1865"</definedName>
    <definedName name="IQ_EST_REV_DIFF_CIQ">"c3717"</definedName>
    <definedName name="IQ_EST_REV_DIFF_REUT" hidden="1">"c3886"</definedName>
    <definedName name="IQ_EST_REV_DIFF_THOM" hidden="1">"c5182"</definedName>
    <definedName name="IQ_EST_REV_GROWTH_1YR">"c1638"</definedName>
    <definedName name="IQ_EST_REV_GROWTH_1YR_CIQ">"c3691"</definedName>
    <definedName name="IQ_EST_REV_GROWTH_1YR_REUT" hidden="1">"c3860"</definedName>
    <definedName name="IQ_EST_REV_GROWTH_1YR_THOM" hidden="1">"c5157"</definedName>
    <definedName name="IQ_EST_REV_GROWTH_2YR">"c1639"</definedName>
    <definedName name="IQ_EST_REV_GROWTH_2YR_CIQ">"c3692"</definedName>
    <definedName name="IQ_EST_REV_GROWTH_2YR_REUT" hidden="1">"c3861"</definedName>
    <definedName name="IQ_EST_REV_GROWTH_2YR_THOM" hidden="1">"c5158"</definedName>
    <definedName name="IQ_EST_REV_GROWTH_Q_1YR">"c1640"</definedName>
    <definedName name="IQ_EST_REV_GROWTH_Q_1YR_CIQ">"c3693"</definedName>
    <definedName name="IQ_EST_REV_GROWTH_Q_1YR_REUT" hidden="1">"c3862"</definedName>
    <definedName name="IQ_EST_REV_GROWTH_Q_1YR_THOM" hidden="1">"c5159"</definedName>
    <definedName name="IQ_EST_REV_SEQ_GROWTH_Q">"c1765"</definedName>
    <definedName name="IQ_EST_REV_SEQ_GROWTH_Q_CIQ">"c3694"</definedName>
    <definedName name="IQ_EST_REV_SEQ_GROWTH_Q_REUT" hidden="1">"c3863"</definedName>
    <definedName name="IQ_EST_REV_SEQ_GROWTH_Q_THOM" hidden="1">"c5160"</definedName>
    <definedName name="IQ_EST_REV_SURPRISE_PERCENT">"c1866"</definedName>
    <definedName name="IQ_EST_REV_SURPRISE_PERCENT_CIQ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VENT_DATE">"c13819"</definedName>
    <definedName name="IQ_EVENT_ID">"c13818"</definedName>
    <definedName name="IQ_EVENT_TIME">"c13820"</definedName>
    <definedName name="IQ_EVENT_TYPE">"c13821"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IMBURSE_RENTAL_REVENUE">"c16064"</definedName>
    <definedName name="IQ_EXP_RETURN_PENSION_DOMESTIC">"c407"</definedName>
    <definedName name="IQ_EXP_RETURN_PENSION_FOREIGN">"c408"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SOLD">"c2256"</definedName>
    <definedName name="IQ_FEES_COMMISSIONS_BROKERAGE_FFIEC">"c13005"</definedName>
    <definedName name="IQ_FEES_OTHER_INCOME">"c15257"</definedName>
    <definedName name="IQ_FFO">"c1574"</definedName>
    <definedName name="IQ_FFO_ACT_OR_EST">"c2216"</definedName>
    <definedName name="IQ_FFO_ADJ_ACT_OR_EST" hidden="1">"c4435"</definedName>
    <definedName name="IQ_FFO_ADJ_ACT_OR_EST_CIQ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DILUTED">"c16186"</definedName>
    <definedName name="IQ_FFO_EST">"c418"</definedName>
    <definedName name="IQ_FFO_EST_REUT" hidden="1">"c3837"</definedName>
    <definedName name="IQ_FFO_EST_THOM" hidden="1">"c3999"</definedName>
    <definedName name="IQ_FFO_GUIDANCE" hidden="1">"c4443"</definedName>
    <definedName name="IQ_FFO_HIGH_EST">"c419"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>"c420"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>"c1665"</definedName>
    <definedName name="IQ_FFO_MEDIAN_EST_REUT" hidden="1">"c3838"</definedName>
    <definedName name="IQ_FFO_MEDIAN_EST_THOM" hidden="1">"c4000"</definedName>
    <definedName name="IQ_FFO_NUM_EST">"c421"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hidden="1">"c4446"</definedName>
    <definedName name="IQ_FFO_SHARE_ACT_OR_EST_CIQ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HARES_BASIC">"c16185"</definedName>
    <definedName name="IQ_FFO_SHARES_DILUTED">"c16187"</definedName>
    <definedName name="IQ_FFO_STDDEV_EST">"c422"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Y">"c441"</definedName>
    <definedName name="IQ_FISCAL_Y_EST">"c6795"</definedName>
    <definedName name="IQ_FISCAL_Y_EST_CIQ">"c6807"</definedName>
    <definedName name="IQ_FIVE_PERCENT_OWNER">"c442"</definedName>
    <definedName name="IQ_FIVE_YEAR_FIXED_AND_FLOATING_RATE_FDIC" hidden="1">"c6422"</definedName>
    <definedName name="IQ_FIVE_YEAR_MORTGAGE_PASS_THROUGHS_FDIC" hidden="1">"c6414"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_PERCENT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UEL">"c449"</definedName>
    <definedName name="IQ_FULL_TIME">"c450"</definedName>
    <definedName name="IQ_FULLY_INSURED_BROKERED_DEPOSITS_FFIEC">"c15305"</definedName>
    <definedName name="IQ_FULLY_INSURED_DEPOSITS_FDIC" hidden="1">"c6487"</definedName>
    <definedName name="IQ_FUND_FEE_INC_NON_INT_INC_FFIEC">"c13493"</definedName>
    <definedName name="IQ_FUND_NAV">"c15225"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 hidden="1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 hidden="1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DOM_LOANS_FFIEC">"c12975"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TYPE">"c15223"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DIRECT_FAX">"c15189"</definedName>
    <definedName name="IQ_INDIVIDUAL_DIRECT_PHONE">"c15188"</definedName>
    <definedName name="IQ_INDIVIDUAL_EDUCATION">"c15203"</definedName>
    <definedName name="IQ_INDIVIDUAL_EMAIL">"c15193"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MAIN_FAX">"c15187"</definedName>
    <definedName name="IQ_INDIVIDUAL_MAIN_PHONE">"c15186"</definedName>
    <definedName name="IQ_INDIVIDUAL_MOBILE">"c15198"</definedName>
    <definedName name="IQ_INDIVIDUAL_NICKNAME">"c15192"</definedName>
    <definedName name="IQ_INDIVIDUAL_NOTES">"c15204"</definedName>
    <definedName name="IQ_INDIVIDUAL_OFFICE_ADDRESS">"c15185"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SPECIALTY">"c15190"</definedName>
    <definedName name="IQ_INDIVIDUAL_TITLE">"c15183"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 hidden="1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 hidden="1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 hidden="1">"c6569"</definedName>
    <definedName name="IQ_INT_EXP_UTI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>"c6225"</definedName>
    <definedName name="IQ_INT_INC_REIT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GIBLES_NET">"c1407"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PRD">"c644"</definedName>
    <definedName name="IQ_IPRD_SUPPLE">"c13813"</definedName>
    <definedName name="IQ_IRA_KEOGH_ACCOUNTS_FDIC" hidden="1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 hidden="1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>1000</definedName>
    <definedName name="IQ_LATESTKFR" hidden="1">"100"</definedName>
    <definedName name="IQ_LATESTQ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 localSheetId="2" hidden="1">"c2123"</definedName>
    <definedName name="IQ_LICENSED_POPS">"c16172"</definedName>
    <definedName name="IQ_LICENSED_WIRELESS_POPS">"c2123"</definedName>
    <definedName name="IQ_LIFE_EARNED">"c2739"</definedName>
    <definedName name="IQ_LIFE_INSURANCE_ASSETS_FDIC" hidden="1">"c6372"</definedName>
    <definedName name="IQ_LIFE_INSURANCE_ASSETS_FFIEC">"c12847"</definedName>
    <definedName name="IQ_LIFOR">"c655"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>"c657"</definedName>
    <definedName name="IQ_LOAN_LOSS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>"c658"</definedName>
    <definedName name="IQ_LOANS_AGRICULTURAL_PROD_LL_REC_FFIEC">"c12886"</definedName>
    <definedName name="IQ_LOANS_AND_LEASES_HELD_FDIC" hidden="1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 hidden="1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 hidden="1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 hidden="1">"IQ_LTM_DATE"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" hidden="1">"c4458"</definedName>
    <definedName name="IQ_MAINT_CAPEX_ACT_OR_EST_CIQ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TERIALS_SUPPLES_INVENTORY_COAL">"c15942"</definedName>
    <definedName name="IQ_MATURITY_DATE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 hidden="1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 hidden="1">"c6335"</definedName>
    <definedName name="IQ_MTD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CIPAL_INVEST_SECURITIES_FFIEC">"c13459"</definedName>
    <definedName name="IQ_NAMES_REVISION_DATE_">41143.8750810185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>"c2225"</definedName>
    <definedName name="IQ_NAV_ACT_OR_EST_THOM" hidden="1">"c5607"</definedName>
    <definedName name="IQ_NAV_EST">"c1751"</definedName>
    <definedName name="IQ_NAV_EST_THOM" hidden="1">"c5601"</definedName>
    <definedName name="IQ_NAV_HIGH_EST">"c1753"</definedName>
    <definedName name="IQ_NAV_HIGH_EST_THOM" hidden="1">"c5604"</definedName>
    <definedName name="IQ_NAV_LOW_EST">"c1754"</definedName>
    <definedName name="IQ_NAV_LOW_EST_THOM" hidden="1">"c5605"</definedName>
    <definedName name="IQ_NAV_MEDIAN_EST">"c1752"</definedName>
    <definedName name="IQ_NAV_MEDIAN_EST_THOM" hidden="1">"c5602"</definedName>
    <definedName name="IQ_NAV_NUM_EST">"c1755"</definedName>
    <definedName name="IQ_NAV_NUM_EST_THOM" hidden="1">"c5606"</definedName>
    <definedName name="IQ_NAV_RE">"c15996"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EBITDA">"c750"</definedName>
    <definedName name="IQ_NET_DEBT_EBITDA_CAPEX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 hidden="1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INC_INTERNATIONAL_OPS_FFIEC">"c15375"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>"c2198"</definedName>
    <definedName name="IQ_NEXT_CALL_PRICE">"c2199"</definedName>
    <definedName name="IQ_NEXT_EARNINGS_DATE">"c13592"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REUT" hidden="1">"c5468"</definedName>
    <definedName name="IQ_NI_ACT_OR_EST_THOM" hidden="1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REUT" hidden="1">"c5368"</definedName>
    <definedName name="IQ_NI_EST_THOM" hidden="1">"c5126"</definedName>
    <definedName name="IQ_NI_FFIEC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>"c1723"</definedName>
    <definedName name="IQ_NI_GW_EST_REUT" hidden="1">"c5375"</definedName>
    <definedName name="IQ_NI_GW_GUIDANCE" hidden="1">"c4471"</definedName>
    <definedName name="IQ_NI_GW_HIGH_EST">"c1725"</definedName>
    <definedName name="IQ_NI_GW_HIGH_EST_REUT" hidden="1">"c5377"</definedName>
    <definedName name="IQ_NI_GW_HIGH_GUIDANCE" hidden="1">"c4178"</definedName>
    <definedName name="IQ_NI_GW_LOW_EST">"c1726"</definedName>
    <definedName name="IQ_NI_GW_LOW_EST_REUT" hidden="1">"c5378"</definedName>
    <definedName name="IQ_NI_GW_LOW_GUIDANCE" hidden="1">"c4218"</definedName>
    <definedName name="IQ_NI_GW_MEDIAN_EST">"c1724"</definedName>
    <definedName name="IQ_NI_GW_MEDIAN_EST_REUT" hidden="1">"c5376"</definedName>
    <definedName name="IQ_NI_GW_NUM_EST">"c1727"</definedName>
    <definedName name="IQ_NI_GW_NUM_EST_REUT" hidden="1">"c5379"</definedName>
    <definedName name="IQ_NI_GW_STDDEV_EST">"c1728"</definedName>
    <definedName name="IQ_NI_GW_STDDEV_EST_REUT" hidden="1">"c5380"</definedName>
    <definedName name="IQ_NI_HIGH_EST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>"c794"</definedName>
    <definedName name="IQ_NI_MEDIAN_EST">"c1717"</definedName>
    <definedName name="IQ_NI_MEDIAN_EST_REUT" hidden="1">"c5369"</definedName>
    <definedName name="IQ_NI_MEDIAN_EST_THOM" hidden="1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 hidden="1">"c5372"</definedName>
    <definedName name="IQ_NI_NUM_EST_THOM" hidden="1">"c5130"</definedName>
    <definedName name="IQ_NI_REPORTED_EST">"c1730"</definedName>
    <definedName name="IQ_NI_REPORTED_EST_REUT" hidden="1">"c5382"</definedName>
    <definedName name="IQ_NI_REPORTED_HIGH_EST">"c1732"</definedName>
    <definedName name="IQ_NI_REPORTED_HIGH_EST_REUT" hidden="1">"c5384"</definedName>
    <definedName name="IQ_NI_REPORTED_LOW_EST">"c1733"</definedName>
    <definedName name="IQ_NI_REPORTED_LOW_EST_REUT" hidden="1">"c5385"</definedName>
    <definedName name="IQ_NI_REPORTED_MEDIAN_EST">"c1731"</definedName>
    <definedName name="IQ_NI_REPORTED_MEDIAN_EST_REUT" hidden="1">"c5383"</definedName>
    <definedName name="IQ_NI_REPORTED_NUM_EST">"c1734"</definedName>
    <definedName name="IQ_NI_REPORTED_NUM_EST_REUT" hidden="1">"c5386"</definedName>
    <definedName name="IQ_NI_REPORTED_STDDEV_EST">"c1735"</definedName>
    <definedName name="IQ_NI_REPORTED_STDDEV_EST_REUT" hidden="1">"c5387"</definedName>
    <definedName name="IQ_NI_SBC_ACT_OR_EST" hidden="1">"c4474"</definedName>
    <definedName name="IQ_NI_SBC_ACT_OR_EST_CIQ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>"c795"</definedName>
    <definedName name="IQ_NI_STDDEV_EST">"c1721"</definedName>
    <definedName name="IQ_NI_STDDEV_EST_REUT" hidden="1">"c5373"</definedName>
    <definedName name="IQ_NI_STDDEV_EST_THOM" hidden="1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 localSheetId="2" hidden="1">"c800"</definedName>
    <definedName name="IQ_NON_INT_BEAR_CD">"c11750"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CIQ">"c5069"</definedName>
    <definedName name="IQ_NORM_EPS_ACT_OR_EST_REUT" hidden="1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BER_ADRHOLDERS">"c1970"</definedName>
    <definedName name="IQ_NUMBER_CELL_SITES">"c15762"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REUT" hidden="1">"c5466"</definedName>
    <definedName name="IQ_OPER_INC_ACT_OR_EST_THOM" hidden="1">"c5304"</definedName>
    <definedName name="IQ_OPER_INC_BR">"c850"</definedName>
    <definedName name="IQ_OPER_INC_EST">"c1688"</definedName>
    <definedName name="IQ_OPER_INC_EST_REUT" hidden="1">"c5340"</definedName>
    <definedName name="IQ_OPER_INC_EST_THOM" hidden="1">"c5112"</definedName>
    <definedName name="IQ_OPER_INC_FIN">"c851"</definedName>
    <definedName name="IQ_OPER_INC_HIGH_EST">"c1690"</definedName>
    <definedName name="IQ_OPER_INC_HIGH_EST_REUT" hidden="1">"c5342"</definedName>
    <definedName name="IQ_OPER_INC_HIGH_EST_THOM" hidden="1">"c5114"</definedName>
    <definedName name="IQ_OPER_INC_INS">"c852"</definedName>
    <definedName name="IQ_OPER_INC_LOW_EST">"c1691"</definedName>
    <definedName name="IQ_OPER_INC_LOW_EST_REUT" hidden="1">"c5343"</definedName>
    <definedName name="IQ_OPER_INC_LOW_EST_THOM" hidden="1">"c5115"</definedName>
    <definedName name="IQ_OPER_INC_MARGIN">"c1448"</definedName>
    <definedName name="IQ_OPER_INC_MEDIAN_EST">"c1689"</definedName>
    <definedName name="IQ_OPER_INC_MEDIAN_EST_REUT" hidden="1">"c5341"</definedName>
    <definedName name="IQ_OPER_INC_MEDIAN_EST_THOM" hidden="1">"c5113"</definedName>
    <definedName name="IQ_OPER_INC_NUM_EST">"c1692"</definedName>
    <definedName name="IQ_OPER_INC_NUM_EST_REUT" hidden="1">"c5344"</definedName>
    <definedName name="IQ_OPER_INC_NUM_EST_THOM" hidden="1">"c5116"</definedName>
    <definedName name="IQ_OPER_INC_RE">"c6240"</definedName>
    <definedName name="IQ_OPER_INC_REIT">"c853"</definedName>
    <definedName name="IQ_OPER_INC_STDDEV_EST">"c1693"</definedName>
    <definedName name="IQ_OPER_INC_STDDEV_EST_REUT" hidden="1">"c5345"</definedName>
    <definedName name="IQ_OPER_INC_STDDEV_EST_THOM" hidden="1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 hidden="1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>"c15931"</definedName>
    <definedName name="IQ_OTHER_NET">"c1453"</definedName>
    <definedName name="IQ_OTHER_NON_INT_ALLOCATIONS_FFIEC">"c13065"</definedName>
    <definedName name="IQ_OTHER_NON_INT_EXP">"c953"</definedName>
    <definedName name="IQ_OTHER_NON_INT_EXP_FDIC" hidden="1">"c6578"</definedName>
    <definedName name="IQ_OTHER_NON_INT_EXP_FFIEC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>"c2522"</definedName>
    <definedName name="IQ_OTHER_UNITS">"c8772"</definedName>
    <definedName name="IQ_OTHER_UNUSED_COMMITMENTS_FDIC" hidden="1">"c6530"</definedName>
    <definedName name="IQ_OTHER_UNUSED_FFIEC">"c13248"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>"c2160"</definedName>
    <definedName name="IQ_PART_TIME">"c1024"</definedName>
    <definedName name="IQ_PARTICIPATION_POOLS_RESIDENTIAL_MORTGAGES_FDIC" hidden="1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 hidden="1">"c4056"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 hidden="1">"c4059"</definedName>
    <definedName name="IQ_PENETRATION_BASIC_CABLE">"c2850"</definedName>
    <definedName name="IQ_PENETRATION_BBAND">"c2852"</definedName>
    <definedName name="IQ_PENETRATION_BBAND_THP">"c2851"</definedName>
    <definedName name="IQ_PENETRATION_PHONE">"c2853"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>"c1846"</definedName>
    <definedName name="IQ_PERCENT_CHANGE_EST_5YR_GROWTH_RATE_DAY_CIQ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>"c1847"</definedName>
    <definedName name="IQ_PERCENT_CHANGE_EST_5YR_GROWTH_RATE_WEEK_CIQ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>"c1812"</definedName>
    <definedName name="IQ_PERCENT_CHANGE_EST_CFPS_12MONTHS_REUT" hidden="1">"c3924"</definedName>
    <definedName name="IQ_PERCENT_CHANGE_EST_CFPS_12MONTHS_THOM" hidden="1">"c5234"</definedName>
    <definedName name="IQ_PERCENT_CHANGE_EST_CFPS_18MONTHS">"c1813"</definedName>
    <definedName name="IQ_PERCENT_CHANGE_EST_CFPS_18MONTHS_REUT" hidden="1">"c3925"</definedName>
    <definedName name="IQ_PERCENT_CHANGE_EST_CFPS_18MONTHS_THOM" hidden="1">"c5235"</definedName>
    <definedName name="IQ_PERCENT_CHANGE_EST_CFPS_3MONTHS">"c1809"</definedName>
    <definedName name="IQ_PERCENT_CHANGE_EST_CFPS_3MONTHS_REUT" hidden="1">"c3921"</definedName>
    <definedName name="IQ_PERCENT_CHANGE_EST_CFPS_3MONTHS_THOM" hidden="1">"c5231"</definedName>
    <definedName name="IQ_PERCENT_CHANGE_EST_CFPS_6MONTHS">"c1810"</definedName>
    <definedName name="IQ_PERCENT_CHANGE_EST_CFPS_6MONTHS_REUT" hidden="1">"c3922"</definedName>
    <definedName name="IQ_PERCENT_CHANGE_EST_CFPS_6MONTHS_THOM" hidden="1">"c5232"</definedName>
    <definedName name="IQ_PERCENT_CHANGE_EST_CFPS_9MONTHS">"c1811"</definedName>
    <definedName name="IQ_PERCENT_CHANGE_EST_CFPS_9MONTHS_REUT" hidden="1">"c3923"</definedName>
    <definedName name="IQ_PERCENT_CHANGE_EST_CFPS_9MONTHS_THOM" hidden="1">"c5233"</definedName>
    <definedName name="IQ_PERCENT_CHANGE_EST_CFPS_DAY">"c1806"</definedName>
    <definedName name="IQ_PERCENT_CHANGE_EST_CFPS_DAY_REUT" hidden="1">"c3919"</definedName>
    <definedName name="IQ_PERCENT_CHANGE_EST_CFPS_DAY_THOM" hidden="1">"c5229"</definedName>
    <definedName name="IQ_PERCENT_CHANGE_EST_CFPS_MONTH">"c1808"</definedName>
    <definedName name="IQ_PERCENT_CHANGE_EST_CFPS_MONTH_REUT" hidden="1">"c3920"</definedName>
    <definedName name="IQ_PERCENT_CHANGE_EST_CFPS_MONTH_THOM" hidden="1">"c5230"</definedName>
    <definedName name="IQ_PERCENT_CHANGE_EST_CFPS_WEEK">"c1807"</definedName>
    <definedName name="IQ_PERCENT_CHANGE_EST_CFPS_WEEK_REUT" hidden="1">"c3962"</definedName>
    <definedName name="IQ_PERCENT_CHANGE_EST_CFPS_WEEK_THOM" hidden="1">"c5272"</definedName>
    <definedName name="IQ_PERCENT_CHANGE_EST_DPS_12MONTHS">"c1820"</definedName>
    <definedName name="IQ_PERCENT_CHANGE_EST_DPS_12MONTHS_REUT" hidden="1">"c3931"</definedName>
    <definedName name="IQ_PERCENT_CHANGE_EST_DPS_12MONTHS_THOM" hidden="1">"c5241"</definedName>
    <definedName name="IQ_PERCENT_CHANGE_EST_DPS_18MONTHS">"c1821"</definedName>
    <definedName name="IQ_PERCENT_CHANGE_EST_DPS_18MONTHS_REUT" hidden="1">"c3932"</definedName>
    <definedName name="IQ_PERCENT_CHANGE_EST_DPS_18MONTHS_THOM" hidden="1">"c5242"</definedName>
    <definedName name="IQ_PERCENT_CHANGE_EST_DPS_3MONTHS">"c1817"</definedName>
    <definedName name="IQ_PERCENT_CHANGE_EST_DPS_3MONTHS_REUT" hidden="1">"c3928"</definedName>
    <definedName name="IQ_PERCENT_CHANGE_EST_DPS_3MONTHS_THOM" hidden="1">"c5238"</definedName>
    <definedName name="IQ_PERCENT_CHANGE_EST_DPS_6MONTHS">"c1818"</definedName>
    <definedName name="IQ_PERCENT_CHANGE_EST_DPS_6MONTHS_REUT" hidden="1">"c3929"</definedName>
    <definedName name="IQ_PERCENT_CHANGE_EST_DPS_6MONTHS_THOM" hidden="1">"c5239"</definedName>
    <definedName name="IQ_PERCENT_CHANGE_EST_DPS_9MONTHS">"c1819"</definedName>
    <definedName name="IQ_PERCENT_CHANGE_EST_DPS_9MONTHS_REUT" hidden="1">"c3930"</definedName>
    <definedName name="IQ_PERCENT_CHANGE_EST_DPS_9MONTHS_THOM" hidden="1">"c5240"</definedName>
    <definedName name="IQ_PERCENT_CHANGE_EST_DPS_DAY">"c1814"</definedName>
    <definedName name="IQ_PERCENT_CHANGE_EST_DPS_DAY_REUT" hidden="1">"c3926"</definedName>
    <definedName name="IQ_PERCENT_CHANGE_EST_DPS_DAY_THOM" hidden="1">"c5236"</definedName>
    <definedName name="IQ_PERCENT_CHANGE_EST_DPS_MONTH">"c1816"</definedName>
    <definedName name="IQ_PERCENT_CHANGE_EST_DPS_MONTH_REUT" hidden="1">"c3927"</definedName>
    <definedName name="IQ_PERCENT_CHANGE_EST_DPS_MONTH_THOM" hidden="1">"c5237"</definedName>
    <definedName name="IQ_PERCENT_CHANGE_EST_DPS_WEEK">"c1815"</definedName>
    <definedName name="IQ_PERCENT_CHANGE_EST_DPS_WEEK_REUT" hidden="1">"c3963"</definedName>
    <definedName name="IQ_PERCENT_CHANGE_EST_DPS_WEEK_THOM" hidden="1">"c5273"</definedName>
    <definedName name="IQ_PERCENT_CHANGE_EST_EBITDA_12MONTHS">"c1804"</definedName>
    <definedName name="IQ_PERCENT_CHANGE_EST_EBITDA_12MONTHS_CIQ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>"c1805"</definedName>
    <definedName name="IQ_PERCENT_CHANGE_EST_EBITDA_18MONTHS_CIQ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>"c1801"</definedName>
    <definedName name="IQ_PERCENT_CHANGE_EST_EBITDA_3MONTHS_CIQ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>"c1802"</definedName>
    <definedName name="IQ_PERCENT_CHANGE_EST_EBITDA_6MONTHS_CIQ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>"c1803"</definedName>
    <definedName name="IQ_PERCENT_CHANGE_EST_EBITDA_9MONTHS_CIQ">"c3747"</definedName>
    <definedName name="IQ_PERCENT_CHANGE_EST_EBITDA_9MONTHS_REUT" hidden="1">"c3916"</definedName>
    <definedName name="IQ_PERCENT_CHANGE_EST_EBITDA_9MONTHS_THOM" hidden="1">"c5226"</definedName>
    <definedName name="IQ_PERCENT_CHANGE_EST_EBITDA_DAY">"c1798"</definedName>
    <definedName name="IQ_PERCENT_CHANGE_EST_EBITDA_DAY_CIQ">"c3743"</definedName>
    <definedName name="IQ_PERCENT_CHANGE_EST_EBITDA_DAY_REUT" hidden="1">"c3912"</definedName>
    <definedName name="IQ_PERCENT_CHANGE_EST_EBITDA_DAY_THOM" hidden="1">"c5222"</definedName>
    <definedName name="IQ_PERCENT_CHANGE_EST_EBITDA_MONTH">"c1800"</definedName>
    <definedName name="IQ_PERCENT_CHANGE_EST_EBITDA_MONTH_CIQ">"c3744"</definedName>
    <definedName name="IQ_PERCENT_CHANGE_EST_EBITDA_MONTH_REUT" hidden="1">"c3913"</definedName>
    <definedName name="IQ_PERCENT_CHANGE_EST_EBITDA_MONTH_THOM" hidden="1">"c5223"</definedName>
    <definedName name="IQ_PERCENT_CHANGE_EST_EBITDA_WEEK">"c1799"</definedName>
    <definedName name="IQ_PERCENT_CHANGE_EST_EBITDA_WEEK_CIQ">"c3792"</definedName>
    <definedName name="IQ_PERCENT_CHANGE_EST_EBITDA_WEEK_REUT" hidden="1">"c3961"</definedName>
    <definedName name="IQ_PERCENT_CHANGE_EST_EBITDA_WEEK_THOM" hidden="1">"c5271"</definedName>
    <definedName name="IQ_PERCENT_CHANGE_EST_EPS_12MONTHS">"c1788"</definedName>
    <definedName name="IQ_PERCENT_CHANGE_EST_EPS_12MONTHS_CIQ">"c3733"</definedName>
    <definedName name="IQ_PERCENT_CHANGE_EST_EPS_12MONTHS_REUT" hidden="1">"c3902"</definedName>
    <definedName name="IQ_PERCENT_CHANGE_EST_EPS_12MONTHS_THOM" hidden="1">"c5212"</definedName>
    <definedName name="IQ_PERCENT_CHANGE_EST_EPS_18MONTHS">"c1789"</definedName>
    <definedName name="IQ_PERCENT_CHANGE_EST_EPS_18MONTHS_CIQ">"c3734"</definedName>
    <definedName name="IQ_PERCENT_CHANGE_EST_EPS_18MONTHS_REUT" hidden="1">"c3903"</definedName>
    <definedName name="IQ_PERCENT_CHANGE_EST_EPS_18MONTHS_THOM" hidden="1">"c5213"</definedName>
    <definedName name="IQ_PERCENT_CHANGE_EST_EPS_3MONTHS">"c1785"</definedName>
    <definedName name="IQ_PERCENT_CHANGE_EST_EPS_3MONTHS_CIQ">"c3730"</definedName>
    <definedName name="IQ_PERCENT_CHANGE_EST_EPS_3MONTHS_REUT" hidden="1">"c3899"</definedName>
    <definedName name="IQ_PERCENT_CHANGE_EST_EPS_3MONTHS_THOM" hidden="1">"c5209"</definedName>
    <definedName name="IQ_PERCENT_CHANGE_EST_EPS_6MONTHS">"c1786"</definedName>
    <definedName name="IQ_PERCENT_CHANGE_EST_EPS_6MONTHS_CIQ">"c3731"</definedName>
    <definedName name="IQ_PERCENT_CHANGE_EST_EPS_6MONTHS_REUT" hidden="1">"c3900"</definedName>
    <definedName name="IQ_PERCENT_CHANGE_EST_EPS_6MONTHS_THOM" hidden="1">"c5210"</definedName>
    <definedName name="IQ_PERCENT_CHANGE_EST_EPS_9MONTHS">"c1787"</definedName>
    <definedName name="IQ_PERCENT_CHANGE_EST_EPS_9MONTHS_CIQ">"c3732"</definedName>
    <definedName name="IQ_PERCENT_CHANGE_EST_EPS_9MONTHS_REUT" hidden="1">"c3901"</definedName>
    <definedName name="IQ_PERCENT_CHANGE_EST_EPS_9MONTHS_THOM" hidden="1">"c5211"</definedName>
    <definedName name="IQ_PERCENT_CHANGE_EST_EPS_DAY">"c1782"</definedName>
    <definedName name="IQ_PERCENT_CHANGE_EST_EPS_DAY_CIQ">"c3727"</definedName>
    <definedName name="IQ_PERCENT_CHANGE_EST_EPS_DAY_REUT" hidden="1">"c3896"</definedName>
    <definedName name="IQ_PERCENT_CHANGE_EST_EPS_DAY_THOM" hidden="1">"c5206"</definedName>
    <definedName name="IQ_PERCENT_CHANGE_EST_EPS_MONTH">"c1784"</definedName>
    <definedName name="IQ_PERCENT_CHANGE_EST_EPS_MONTH_CIQ">"c3729"</definedName>
    <definedName name="IQ_PERCENT_CHANGE_EST_EPS_MONTH_REUT" hidden="1">"c3898"</definedName>
    <definedName name="IQ_PERCENT_CHANGE_EST_EPS_MONTH_THOM" hidden="1">"c5208"</definedName>
    <definedName name="IQ_PERCENT_CHANGE_EST_EPS_WEEK">"c1783"</definedName>
    <definedName name="IQ_PERCENT_CHANGE_EST_EPS_WEEK_CIQ">"c3728"</definedName>
    <definedName name="IQ_PERCENT_CHANGE_EST_EPS_WEEK_REUT" hidden="1">"c3897"</definedName>
    <definedName name="IQ_PERCENT_CHANGE_EST_EPS_WEEK_THOM" hidden="1">"c5207"</definedName>
    <definedName name="IQ_PERCENT_CHANGE_EST_FFO_12MONTHS">"c1828"</definedName>
    <definedName name="IQ_PERCENT_CHANGE_EST_FFO_12MONTHS_REUT" hidden="1">"c3938"</definedName>
    <definedName name="IQ_PERCENT_CHANGE_EST_FFO_12MONTHS_THOM" hidden="1">"c5248"</definedName>
    <definedName name="IQ_PERCENT_CHANGE_EST_FFO_18MONTHS">"c1829"</definedName>
    <definedName name="IQ_PERCENT_CHANGE_EST_FFO_18MONTHS_REUT" hidden="1">"c3939"</definedName>
    <definedName name="IQ_PERCENT_CHANGE_EST_FFO_18MONTHS_THOM" hidden="1">"c5249"</definedName>
    <definedName name="IQ_PERCENT_CHANGE_EST_FFO_3MONTHS">"c1825"</definedName>
    <definedName name="IQ_PERCENT_CHANGE_EST_FFO_3MONTHS_REUT" hidden="1">"c3935"</definedName>
    <definedName name="IQ_PERCENT_CHANGE_EST_FFO_3MONTHS_THOM" hidden="1">"c5245"</definedName>
    <definedName name="IQ_PERCENT_CHANGE_EST_FFO_6MONTHS">"c1826"</definedName>
    <definedName name="IQ_PERCENT_CHANGE_EST_FFO_6MONTHS_REUT" hidden="1">"c3936"</definedName>
    <definedName name="IQ_PERCENT_CHANGE_EST_FFO_6MONTHS_THOM" hidden="1">"c5246"</definedName>
    <definedName name="IQ_PERCENT_CHANGE_EST_FFO_9MONTHS">"c1827"</definedName>
    <definedName name="IQ_PERCENT_CHANGE_EST_FFO_9MONTHS_REUT" hidden="1">"c3937"</definedName>
    <definedName name="IQ_PERCENT_CHANGE_EST_FFO_9MONTHS_THOM" hidden="1">"c5247"</definedName>
    <definedName name="IQ_PERCENT_CHANGE_EST_FFO_DAY">"c1822"</definedName>
    <definedName name="IQ_PERCENT_CHANGE_EST_FFO_DAY_REUT" hidden="1">"c3933"</definedName>
    <definedName name="IQ_PERCENT_CHANGE_EST_FFO_DAY_THOM" hidden="1">"c5243"</definedName>
    <definedName name="IQ_PERCENT_CHANGE_EST_FFO_MONTH">"c1824"</definedName>
    <definedName name="IQ_PERCENT_CHANGE_EST_FFO_MONTH_REUT" hidden="1">"c3934"</definedName>
    <definedName name="IQ_PERCENT_CHANGE_EST_FFO_MONTH_THOM" hidden="1">"c5244"</definedName>
    <definedName name="IQ_PERCENT_CHANGE_EST_FFO_WEEK">"c1823"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>"c1841"</definedName>
    <definedName name="IQ_PERCENT_CHANGE_EST_PRICE_TARGET_3MONTHS_CIQ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>"c1842"</definedName>
    <definedName name="IQ_PERCENT_CHANGE_EST_PRICE_TARGET_6MONTHS_CIQ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>"c1843"</definedName>
    <definedName name="IQ_PERCENT_CHANGE_EST_PRICE_TARGET_9MONTHS_CIQ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>"c1838"</definedName>
    <definedName name="IQ_PERCENT_CHANGE_EST_PRICE_TARGET_DAY_CIQ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>"c1840"</definedName>
    <definedName name="IQ_PERCENT_CHANGE_EST_PRICE_TARGET_MONTH_CIQ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>"c1839"</definedName>
    <definedName name="IQ_PERCENT_CHANGE_EST_PRICE_TARGET_WEEK_CIQ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>"c1836"</definedName>
    <definedName name="IQ_PERCENT_CHANGE_EST_RECO_12MONTHS_CIQ">"c3776"</definedName>
    <definedName name="IQ_PERCENT_CHANGE_EST_RECO_12MONTHS_REUT" hidden="1">"c3945"</definedName>
    <definedName name="IQ_PERCENT_CHANGE_EST_RECO_12MONTHS_THOM" hidden="1">"c5255"</definedName>
    <definedName name="IQ_PERCENT_CHANGE_EST_RECO_18MONTHS">"c1837"</definedName>
    <definedName name="IQ_PERCENT_CHANGE_EST_RECO_18MONTHS_CIQ">"c3777"</definedName>
    <definedName name="IQ_PERCENT_CHANGE_EST_RECO_18MONTHS_REUT" hidden="1">"c3946"</definedName>
    <definedName name="IQ_PERCENT_CHANGE_EST_RECO_18MONTHS_THOM" hidden="1">"c5256"</definedName>
    <definedName name="IQ_PERCENT_CHANGE_EST_RECO_3MONTHS">"c1833"</definedName>
    <definedName name="IQ_PERCENT_CHANGE_EST_RECO_3MONTHS_CIQ">"c3773"</definedName>
    <definedName name="IQ_PERCENT_CHANGE_EST_RECO_3MONTHS_REUT" hidden="1">"c3942"</definedName>
    <definedName name="IQ_PERCENT_CHANGE_EST_RECO_3MONTHS_THOM" hidden="1">"c5252"</definedName>
    <definedName name="IQ_PERCENT_CHANGE_EST_RECO_6MONTHS">"c1834"</definedName>
    <definedName name="IQ_PERCENT_CHANGE_EST_RECO_6MONTHS_CIQ">"c3774"</definedName>
    <definedName name="IQ_PERCENT_CHANGE_EST_RECO_6MONTHS_REUT" hidden="1">"c3943"</definedName>
    <definedName name="IQ_PERCENT_CHANGE_EST_RECO_6MONTHS_THOM" hidden="1">"c5253"</definedName>
    <definedName name="IQ_PERCENT_CHANGE_EST_RECO_9MONTHS">"c1835"</definedName>
    <definedName name="IQ_PERCENT_CHANGE_EST_RECO_9MONTHS_CIQ">"c3775"</definedName>
    <definedName name="IQ_PERCENT_CHANGE_EST_RECO_9MONTHS_REUT" hidden="1">"c3944"</definedName>
    <definedName name="IQ_PERCENT_CHANGE_EST_RECO_9MONTHS_THOM" hidden="1">"c5254"</definedName>
    <definedName name="IQ_PERCENT_CHANGE_EST_RECO_DAY">"c1830"</definedName>
    <definedName name="IQ_PERCENT_CHANGE_EST_RECO_DAY_CIQ">"c3771"</definedName>
    <definedName name="IQ_PERCENT_CHANGE_EST_RECO_DAY_REUT" hidden="1">"c3940"</definedName>
    <definedName name="IQ_PERCENT_CHANGE_EST_RECO_DAY_THOM" hidden="1">"c5250"</definedName>
    <definedName name="IQ_PERCENT_CHANGE_EST_RECO_MONTH">"c1832"</definedName>
    <definedName name="IQ_PERCENT_CHANGE_EST_RECO_MONTH_CIQ">"c3772"</definedName>
    <definedName name="IQ_PERCENT_CHANGE_EST_RECO_MONTH_REUT" hidden="1">"c3941"</definedName>
    <definedName name="IQ_PERCENT_CHANGE_EST_RECO_MONTH_THOM" hidden="1">"c5251"</definedName>
    <definedName name="IQ_PERCENT_CHANGE_EST_RECO_WEEK">"c1831"</definedName>
    <definedName name="IQ_PERCENT_CHANGE_EST_RECO_WEEK_CIQ">"c3796"</definedName>
    <definedName name="IQ_PERCENT_CHANGE_EST_RECO_WEEK_REUT" hidden="1">"c3966"</definedName>
    <definedName name="IQ_PERCENT_CHANGE_EST_RECO_WEEK_THOM" hidden="1">"c5275"</definedName>
    <definedName name="IQ_PERCENT_CHANGE_EST_REV_12MONTHS">"c1796"</definedName>
    <definedName name="IQ_PERCENT_CHANGE_EST_REV_12MONTHS_CIQ">"c3741"</definedName>
    <definedName name="IQ_PERCENT_CHANGE_EST_REV_12MONTHS_REUT" hidden="1">"c3910"</definedName>
    <definedName name="IQ_PERCENT_CHANGE_EST_REV_12MONTHS_THOM" hidden="1">"c5220"</definedName>
    <definedName name="IQ_PERCENT_CHANGE_EST_REV_18MONTHS">"c1797"</definedName>
    <definedName name="IQ_PERCENT_CHANGE_EST_REV_18MONTHS_CIQ">"c3742"</definedName>
    <definedName name="IQ_PERCENT_CHANGE_EST_REV_18MONTHS_REUT" hidden="1">"c3911"</definedName>
    <definedName name="IQ_PERCENT_CHANGE_EST_REV_18MONTHS_THOM" hidden="1">"c5221"</definedName>
    <definedName name="IQ_PERCENT_CHANGE_EST_REV_3MONTHS">"c1793"</definedName>
    <definedName name="IQ_PERCENT_CHANGE_EST_REV_3MONTHS_CIQ">"c3738"</definedName>
    <definedName name="IQ_PERCENT_CHANGE_EST_REV_3MONTHS_REUT" hidden="1">"c3907"</definedName>
    <definedName name="IQ_PERCENT_CHANGE_EST_REV_3MONTHS_THOM" hidden="1">"c5217"</definedName>
    <definedName name="IQ_PERCENT_CHANGE_EST_REV_6MONTHS">"c1794"</definedName>
    <definedName name="IQ_PERCENT_CHANGE_EST_REV_6MONTHS_CIQ">"c3739"</definedName>
    <definedName name="IQ_PERCENT_CHANGE_EST_REV_6MONTHS_REUT" hidden="1">"c3908"</definedName>
    <definedName name="IQ_PERCENT_CHANGE_EST_REV_6MONTHS_THOM" hidden="1">"c5218"</definedName>
    <definedName name="IQ_PERCENT_CHANGE_EST_REV_9MONTHS">"c1795"</definedName>
    <definedName name="IQ_PERCENT_CHANGE_EST_REV_9MONTHS_CIQ">"c3740"</definedName>
    <definedName name="IQ_PERCENT_CHANGE_EST_REV_9MONTHS_REUT" hidden="1">"c3909"</definedName>
    <definedName name="IQ_PERCENT_CHANGE_EST_REV_9MONTHS_THOM" hidden="1">"c5219"</definedName>
    <definedName name="IQ_PERCENT_CHANGE_EST_REV_DAY">"c1790"</definedName>
    <definedName name="IQ_PERCENT_CHANGE_EST_REV_DAY_CIQ">"c3735"</definedName>
    <definedName name="IQ_PERCENT_CHANGE_EST_REV_DAY_REUT" hidden="1">"c3904"</definedName>
    <definedName name="IQ_PERCENT_CHANGE_EST_REV_DAY_THOM" hidden="1">"c5214"</definedName>
    <definedName name="IQ_PERCENT_CHANGE_EST_REV_MONTH">"c1792"</definedName>
    <definedName name="IQ_PERCENT_CHANGE_EST_REV_MONTH_CIQ">"c3737"</definedName>
    <definedName name="IQ_PERCENT_CHANGE_EST_REV_MONTH_REUT" hidden="1">"c3906"</definedName>
    <definedName name="IQ_PERCENT_CHANGE_EST_REV_MONTH_THOM" hidden="1">"c5216"</definedName>
    <definedName name="IQ_PERCENT_CHANGE_EST_REV_WEEK">"c1791"</definedName>
    <definedName name="IQ_PERCENT_CHANGE_EST_REV_WEEK_CIQ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 hidden="1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 localSheetId="2" hidden="1">"c2121"</definedName>
    <definedName name="IQ_POSTPAID_CHURN">"c16170"</definedName>
    <definedName name="IQ_POSTPAID_SUBS" localSheetId="2" hidden="1">"c2118"</definedName>
    <definedName name="IQ_POSTPAID_SUBS">"c16167"</definedName>
    <definedName name="IQ_POTENTIAL_UPSIDE">"c1855"</definedName>
    <definedName name="IQ_POTENTIAL_UPSIDE_CIQ">"c3799"</definedName>
    <definedName name="IQ_POTENTIAL_UPSIDE_REUT" hidden="1">"c3968"</definedName>
    <definedName name="IQ_POTENTIAL_UPSIDE_THOM" hidden="1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STOCK_FFIEC">"c12875"</definedName>
    <definedName name="IQ_PREF_TOT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 localSheetId="2" hidden="1">"c2120"</definedName>
    <definedName name="IQ_PREPAID_CHURN">"c16169"</definedName>
    <definedName name="IQ_PREPAID_EXP">"c1068"</definedName>
    <definedName name="IQ_PREPAID_EXPEN">"c1418"</definedName>
    <definedName name="IQ_PREPAID_SUBS" localSheetId="2" hidden="1">"c2117"</definedName>
    <definedName name="IQ_PREPAID_SUBS">"c16166"</definedName>
    <definedName name="IQ_PRESIDENT_ID">"c15216"</definedName>
    <definedName name="IQ_PRESIDENT_NAME">"c15215"</definedName>
    <definedName name="IQ_PRETAX_GW_INC_EST">"c1702"</definedName>
    <definedName name="IQ_PRETAX_GW_INC_EST_REUT" hidden="1">"c5354"</definedName>
    <definedName name="IQ_PRETAX_GW_INC_HIGH_EST">"c1704"</definedName>
    <definedName name="IQ_PRETAX_GW_INC_HIGH_EST_REUT" hidden="1">"c5356"</definedName>
    <definedName name="IQ_PRETAX_GW_INC_LOW_EST">"c1705"</definedName>
    <definedName name="IQ_PRETAX_GW_INC_LOW_EST_REUT" hidden="1">"c5357"</definedName>
    <definedName name="IQ_PRETAX_GW_INC_MEDIAN_EST">"c1703"</definedName>
    <definedName name="IQ_PRETAX_GW_INC_MEDIAN_EST_REUT" hidden="1">"c5355"</definedName>
    <definedName name="IQ_PRETAX_GW_INC_NUM_EST">"c1706"</definedName>
    <definedName name="IQ_PRETAX_GW_INC_NUM_EST_REUT" hidden="1">"c5358"</definedName>
    <definedName name="IQ_PRETAX_GW_INC_STDDEV_EST">"c1707"</definedName>
    <definedName name="IQ_PRETAX_GW_INC_STDDEV_EST_REUT" hidden="1">"c5359"</definedName>
    <definedName name="IQ_PRETAX_INC_AFTER_CAP_ALLOCATION_FOREIGN_FFIEC">"c15390"</definedName>
    <definedName name="IQ_PRETAX_INC_BEFORE_CAP_ALLOCATION_FOREIGN_FFIEC">"c15388"</definedName>
    <definedName name="IQ_PRETAX_INC_EST">"c1695"</definedName>
    <definedName name="IQ_PRETAX_INC_EST_REUT" hidden="1">"c5347"</definedName>
    <definedName name="IQ_PRETAX_INC_EST_THOM" hidden="1">"c5119"</definedName>
    <definedName name="IQ_PRETAX_INC_HIGH_EST">"c1697"</definedName>
    <definedName name="IQ_PRETAX_INC_HIGH_EST_REUT" hidden="1">"c5349"</definedName>
    <definedName name="IQ_PRETAX_INC_HIGH_EST_THOM" hidden="1">"c5121"</definedName>
    <definedName name="IQ_PRETAX_INC_LOW_EST">"c1698"</definedName>
    <definedName name="IQ_PRETAX_INC_LOW_EST_REUT" hidden="1">"c5350"</definedName>
    <definedName name="IQ_PRETAX_INC_LOW_EST_THOM" hidden="1">"c5122"</definedName>
    <definedName name="IQ_PRETAX_INC_MEDIAN_EST">"c1696"</definedName>
    <definedName name="IQ_PRETAX_INC_MEDIAN_EST_REUT" hidden="1">"c5348"</definedName>
    <definedName name="IQ_PRETAX_INC_MEDIAN_EST_THOM" hidden="1">"c5120"</definedName>
    <definedName name="IQ_PRETAX_INC_NUM_EST">"c1699"</definedName>
    <definedName name="IQ_PRETAX_INC_NUM_EST_REUT" hidden="1">"c5351"</definedName>
    <definedName name="IQ_PRETAX_INC_NUM_EST_THOM" hidden="1">"c5123"</definedName>
    <definedName name="IQ_PRETAX_INC_STDDEV_EST">"c1700"</definedName>
    <definedName name="IQ_PRETAX_INC_STDDEV_EST_REUT" hidden="1">"c5352"</definedName>
    <definedName name="IQ_PRETAX_INC_STDDEV_EST_THOM" hidden="1">"c5124"</definedName>
    <definedName name="IQ_PRETAX_OPERATING_INC_AVG_ASSETS_FFIEC">"c13365"</definedName>
    <definedName name="IQ_PRETAX_REPORT_INC_EST">"c1709"</definedName>
    <definedName name="IQ_PRETAX_REPORT_INC_EST_REUT" hidden="1">"c5361"</definedName>
    <definedName name="IQ_PRETAX_REPORT_INC_HIGH_EST">"c1711"</definedName>
    <definedName name="IQ_PRETAX_REPORT_INC_HIGH_EST_REUT" hidden="1">"c5363"</definedName>
    <definedName name="IQ_PRETAX_REPORT_INC_LOW_EST">"c1712"</definedName>
    <definedName name="IQ_PRETAX_REPORT_INC_LOW_EST_REUT" hidden="1">"c5364"</definedName>
    <definedName name="IQ_PRETAX_REPORT_INC_MEDIAN_EST">"c1710"</definedName>
    <definedName name="IQ_PRETAX_REPORT_INC_MEDIAN_EST_REUT" hidden="1">"c5362"</definedName>
    <definedName name="IQ_PRETAX_REPORT_INC_NUM_EST">"c1713"</definedName>
    <definedName name="IQ_PRETAX_REPORT_INC_NUM_EST_REUT" hidden="1">"c5365"</definedName>
    <definedName name="IQ_PRETAX_REPORT_INC_STDDEV_EST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>"c2237"</definedName>
    <definedName name="IQ_PRICE_CFPS_FWD_REUT" hidden="1">"c4053"</definedName>
    <definedName name="IQ_PRICE_CFPS_FWD_THOM" hidden="1">"c4060"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 hidden="1">"c5486"</definedName>
    <definedName name="IQ_PRICE_TARGET_BOTTOM_UP_CIQ">"c12023"</definedName>
    <definedName name="IQ_PRICE_TARGET_BOTTOM_UP_REUT" hidden="1">"c5494"</definedName>
    <definedName name="IQ_PRICE_TARGET_CIQ">"c3613"</definedName>
    <definedName name="IQ_PRICE_TARGET_REUT" hidden="1">"c3631"</definedName>
    <definedName name="IQ_PRICE_TARGET_THOM" hidden="1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>"c1069"</definedName>
    <definedName name="IQ_PRICEDATETIME" hidden="1">"IQ_PRICEDATETIME"</definedName>
    <definedName name="IQ_PRICING_DATE">"c1613"</definedName>
    <definedName name="IQ_PRIMARY_EPS_TYPE" hidden="1">"c4498"</definedName>
    <definedName name="IQ_PRIMARY_EPS_TYPE_REUT" hidden="1">"c5481"</definedName>
    <definedName name="IQ_PRIMARY_INDUSTRY">"c1070"</definedName>
    <definedName name="IQ_PRINCIPAL_AMT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DIRECT_FAX">"c15166"</definedName>
    <definedName name="IQ_PROFESSIONAL_DIRECT_PHONE">"c15165"</definedName>
    <definedName name="IQ_PROFESSIONAL_EMAIL">"c15167"</definedName>
    <definedName name="IQ_PROFESSIONAL_ID">"c13755"</definedName>
    <definedName name="IQ_PROFESSIONAL_MAIN_FAX">"c15164"</definedName>
    <definedName name="IQ_PROFESSIONAL_MAIN_PHONE">"c15163"</definedName>
    <definedName name="IQ_PROFESSIONAL_OFFICE_ADDRESS">"c15162"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TBV">"c1084"</definedName>
    <definedName name="IQ_PTBV_AVG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 hidden="1">"c6332"</definedName>
    <definedName name="IQ_RE_FOREIGN_FFIEC">"c13479"</definedName>
    <definedName name="IQ_RE_GAIN_LOSS_SALE_ASSETS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>"c1114"</definedName>
    <definedName name="IQ_RETURN_ASSETS_BROK">"c1115"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>"c1119"</definedName>
    <definedName name="IQ_RETURN_EQUITY_BROK">"c1120"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 hidden="1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>"c1422"</definedName>
    <definedName name="IQ_REVENUE_ACT_OR_EST">"c2214"</definedName>
    <definedName name="IQ_REVENUE_ACT_OR_EST_CIQ">"c5059"</definedName>
    <definedName name="IQ_REVENUE_ACT_OR_EST_REUT" hidden="1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BOTTOM_UP" hidden="1">"c5488"</definedName>
    <definedName name="IQ_REVENUE_EST_BOTTOM_UP_CIQ">"c12025"</definedName>
    <definedName name="IQ_REVENUE_EST_BOTTOM_UP_REUT" hidden="1">"c5496"</definedName>
    <definedName name="IQ_REVENUE_EST_CIQ">"c3616"</definedName>
    <definedName name="IQ_REVENUE_EST_REUT" hidden="1">"c3634"</definedName>
    <definedName name="IQ_REVENUE_EST_THOM" hidden="1">"c3652"</definedName>
    <definedName name="IQ_REVENUE_GUIDANCE" hidden="1">"c4519"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>"c1128"</definedName>
    <definedName name="IQ_REVENUE_LOW_EST_CIQ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 hidden="1">"c3653"</definedName>
    <definedName name="IQ_REVENUE_NUM_EST">"c1129"</definedName>
    <definedName name="IQ_REVENUE_NUM_EST_CIQ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ISION_DATE_" localSheetId="2" hidden="1">39342.4292361111</definedName>
    <definedName name="IQ_REVISION_DATE_">40169.458599537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>"c2159"</definedName>
    <definedName name="IQ_SECURITY_NAME">"c15159"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LECTED_FOREIGN_ASSETS_FFIEC">"c13485"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POSITIONS_FFIEC">"c12859"</definedName>
    <definedName name="IQ_SHORT_TERM_INVEST">"c1425"</definedName>
    <definedName name="IQ_SMALL_INT_BEAR_CD" localSheetId="2" hidden="1">"c1166"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FIC_ALLOWANCE">"c15247"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 hidden="1">"c4520"</definedName>
    <definedName name="IQ_STOCK_BASED_EXPLORE_DRILL">"c13851"</definedName>
    <definedName name="IQ_STOCK_BASED_GA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"c2857"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>"c1214"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 hidden="1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 hidden="1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ELECOM_FFIEC">"c13057"</definedName>
    <definedName name="IQ_TEMPLATE">"c1521"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 hidden="1">"c4054"</definedName>
    <definedName name="IQ_TEV_EBIT_FWD_THOM" hidden="1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 hidden="1">"c4057"</definedName>
    <definedName name="IQ_TEV_EMPLOYEE_AVG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 hidden="1">"c4058"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DUE_DEPOSITORY_INSTIT_DOM_FFIEC">"c15291"</definedName>
    <definedName name="IQ_TOTAL_CASH_DUE_DEPOSITORY_INSTIT_FFIEC">"c15285"</definedName>
    <definedName name="IQ_TOTAL_CASH_FINAN">"c1352"</definedName>
    <definedName name="IQ_TOTAL_CASH_INVEST">"c1353"</definedName>
    <definedName name="IQ_TOTAL_CASH_OPER">"c1354"</definedName>
    <definedName name="IQ_TOTAL_CHARGE_OFFS_FDIC" hidden="1">"c6603"</definedName>
    <definedName name="IQ_TOTAL_CHURN" localSheetId="2" hidden="1">"c2122"</definedName>
    <definedName name="IQ_TOTAL_CHURN">"c16171"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XCL_FIN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>"c6191"</definedName>
    <definedName name="IQ_TOTAL_DEBT_NUM_EST" hidden="1">"c4537"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POSITS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>"c1266"</definedName>
    <definedName name="IQ_TOTAL_EMPLOYEE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>"c1382"</definedName>
    <definedName name="IQ_TOTAL_INTEREST_EXP_FOREIGN_FFIEC">"c15374"</definedName>
    <definedName name="IQ_TOTAL_INTEREST_INC_FOREIGN_FFIEC">"c15373"</definedName>
    <definedName name="IQ_TOTAL_INVENTORY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 hidden="1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 hidden="1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 hidden="1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 localSheetId="2" hidden="1">"c2119"</definedName>
    <definedName name="IQ_TOTAL_SUBS">"c16168"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ED_COMMITMENTS_FDIC" hidden="1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 localSheetId="2" hidden="1">"c2274"</definedName>
    <definedName name="IQ_TR_SEC_FEES">"c13642"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 localSheetId="2" hidden="1">"c2298"</definedName>
    <definedName name="IQ_TR_TERM_FEE">"c13640"</definedName>
    <definedName name="IQ_TR_TERM_FEE_PCT" localSheetId="2" hidden="1">"c2297"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 hidden="1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>"c9975"</definedName>
    <definedName name="IQ_UNDIVIDED_PROFITS_FDIC" hidden="1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 hidden="1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"c15789"</definedName>
    <definedName name="IQ_VOICE_SUB_TOTAL_HOMES_PASSED">"c15770"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 localSheetId="2" hidden="1">"c2203"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IELD_FED_FUNDS_SOLD_FFIEC">"c13487"</definedName>
    <definedName name="IQ_YIELD_TRADING_ASSETS_FFIEC">"c13488"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 hidden="1">3</definedName>
    <definedName name="IQRAG9" hidden="1">"$AG$10:$AG$19"</definedName>
    <definedName name="IQRBA4" hidden="1">"$BA$5:$BA$9"</definedName>
    <definedName name="IQRBB4" hidden="1">"$BB$5:$BB$9"</definedName>
    <definedName name="IQRC17" hidden="1">"$C$18:$C$27"</definedName>
    <definedName name="IQRF10" hidden="1">"$F$11:$F$16"</definedName>
    <definedName name="IQRF2" hidden="1">"$F$3"</definedName>
    <definedName name="IQRF4" hidden="1">"$F$5"</definedName>
    <definedName name="IQRF6" hidden="1">"$F$7"</definedName>
    <definedName name="IQRF8" hidden="1">"$F$9:$F$12"</definedName>
    <definedName name="IQRI13" hidden="1">"$I$14:$I$17"</definedName>
    <definedName name="IQRI30" hidden="1">"$I$31:$I$34"</definedName>
    <definedName name="irkutsk" localSheetId="2">#REF!</definedName>
    <definedName name="irkutsk">#REF!</definedName>
    <definedName name="IRR_1">#NAME?</definedName>
    <definedName name="IRR_10">#REF!</definedName>
    <definedName name="IRR_11">#REF!</definedName>
    <definedName name="IRR_12">#NAME?</definedName>
    <definedName name="IRR_2">#NAME?</definedName>
    <definedName name="IRR_3">#REF!</definedName>
    <definedName name="IRR_4">#REF!</definedName>
    <definedName name="IRR_5">#NAME?</definedName>
    <definedName name="IRR_6">#NAME?</definedName>
    <definedName name="IRR_7">#NAME?</definedName>
    <definedName name="IRR_8">#NAME?</definedName>
    <definedName name="IRR_9">#NAME?</definedName>
    <definedName name="ISP_NAME" localSheetId="2">#REF!</definedName>
    <definedName name="ISP_NAME">#REF!</definedName>
    <definedName name="ISP_TEL" localSheetId="2">#REF!</definedName>
    <definedName name="ISP_TEL">#REF!</definedName>
    <definedName name="İŞŞL" localSheetId="2" hidden="1">{"'Grafik Kontrol'!$A$1:$J$8"}</definedName>
    <definedName name="İŞŞL" hidden="1">{"'Grafik Kontrol'!$A$1:$J$8"}</definedName>
    <definedName name="Itogo">#REF!</definedName>
    <definedName name="izhevsk" localSheetId="2">#REF!</definedName>
    <definedName name="izhevsk">#REF!</definedName>
    <definedName name="J" localSheetId="2">#REF!</definedName>
    <definedName name="j" hidden="1">{"WOS_99",#N/A,TRUE,"Sep-99";"WOS_00",#N/A,TRUE,"Sep-00";"WOS_01",#N/A,TRUE,"Sep-01"}</definedName>
    <definedName name="jad">{#N/A,"30% Success",TRUE,"Sales Forecast";#N/A,#N/A,TRUE,"Sheet2"}</definedName>
    <definedName name="jad_1">{#N/A,"30% Success",TRUE,"Sales Forecast";#N/A,#N/A,TRUE,"Sheet2"}</definedName>
    <definedName name="jad_2">{#N/A,"30% Success",TRUE,"Sales Forecast";#N/A,#N/A,TRUE,"Sheet2"}</definedName>
    <definedName name="jan" localSheetId="2">#REF!</definedName>
    <definedName name="jan">#REF!</definedName>
    <definedName name="jf">#REF!</definedName>
    <definedName name="jfgj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jfgj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jfhytbvh" localSheetId="2" hidden="1">{"'РП (2)'!$A$5:$S$150"}</definedName>
    <definedName name="jfhytbvh" hidden="1">{"'РП (2)'!$A$5:$S$150"}</definedName>
    <definedName name="JFM">#REF!</definedName>
    <definedName name="JFR">#REF!</definedName>
    <definedName name="jghyf" localSheetId="2" hidden="1">{"'РП (2)'!$A$5:$S$150"}</definedName>
    <definedName name="jghyf" hidden="1">{"'РП (2)'!$A$5:$S$150"}</definedName>
    <definedName name="jgjhg">#REF!</definedName>
    <definedName name="jgy" localSheetId="2" hidden="1">{0,0}</definedName>
    <definedName name="jgy" hidden="1">{0,0}</definedName>
    <definedName name="jhgjhgjghj" localSheetId="2" hidden="1">{"mgmt forecast",#N/A,FALSE,"Mgmt Forecast";"dcf table",#N/A,FALSE,"Mgmt Forecast";"sensitivity",#N/A,FALSE,"Mgmt Forecast";"table inputs",#N/A,FALSE,"Mgmt Forecast";"calculations",#N/A,FALSE,"Mgmt Forecast"}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gytf" localSheetId="2" hidden="1">{"'РП (2)'!$A$5:$S$150"}</definedName>
    <definedName name="jhgytf" hidden="1">{"'РП (2)'!$A$5:$S$150"}</definedName>
    <definedName name="jhhn" localSheetId="2" hidden="1">{"'РП (2)'!$A$5:$S$150"}</definedName>
    <definedName name="jhhn" hidden="1">{"'РП (2)'!$A$5:$S$150"}</definedName>
    <definedName name="jhkkjk" localSheetId="2" hidden="1">{"mgmt forecast",#N/A,FALSE,"Mgmt Forecast";"dcf table",#N/A,FALSE,"Mgmt Forecast";"sensitivity",#N/A,FALSE,"Mgmt Forecast";"table inputs",#N/A,FALSE,"Mgmt Forecast";"calculations",#N/A,FALSE,"Mgmt Forecast"}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j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jj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jjj" localSheetId="2" hidden="1">{#N/A,#N/A,TRUE,"БДР отчет";#N/A,#N/A,TRUE,"БДДС отч";#N/A,#N/A,TRUE,"БОС"}</definedName>
    <definedName name="jjj" hidden="1">{#N/A,#N/A,TRUE,"БДР отчет";#N/A,#N/A,TRUE,"БДДС отч";#N/A,#N/A,TRUE,"БОС"}</definedName>
    <definedName name="jk" localSheetId="2" hidden="1">{#N/A,#N/A,FALSE,"INPUTS";#N/A,#N/A,FALSE,"PROFORMA BSHEET";#N/A,#N/A,FALSE,"COMBINED";#N/A,#N/A,FALSE,"HIGH YIELD";#N/A,#N/A,FALSE,"COMB_GRAPHS"}</definedName>
    <definedName name="jk" hidden="1">{#N/A,#N/A,FALSE,"INPUTS";#N/A,#N/A,FALSE,"PROFORMA BSHEET";#N/A,#N/A,FALSE,"COMBINED";#N/A,#N/A,FALSE,"HIGH YIELD";#N/A,#N/A,FALSE,"COMB_GRAPHS"}</definedName>
    <definedName name="jksh" localSheetId="2" hidden="1">{#N/A,#N/A,FALSE,"Aging Summary";#N/A,#N/A,FALSE,"Ratio Analysis";#N/A,#N/A,FALSE,"Test 120 Day Accts";#N/A,#N/A,FALSE,"Tickmarks"}</definedName>
    <definedName name="jksh" hidden="1">{#N/A,#N/A,FALSE,"Aging Summary";#N/A,#N/A,FALSE,"Ratio Analysis";#N/A,#N/A,FALSE,"Test 120 Day Accts";#N/A,#N/A,FALSE,"Tickmarks"}</definedName>
    <definedName name="jljl" localSheetId="2" hidden="1">{"det (May)",#N/A,FALSE,"June";"sum (MAY YTD)",#N/A,FALSE,"June YTD"}</definedName>
    <definedName name="jljl">#REF!</definedName>
    <definedName name="jmbj" localSheetId="2" hidden="1">{"'РП (2)'!$A$5:$S$150"}</definedName>
    <definedName name="jmbj" hidden="1">{"'РП (2)'!$A$5:$S$150"}</definedName>
    <definedName name="jny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jny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Jo" localSheetId="2" hidden="1">{"vi1",#N/A,FALSE,"Financial Statements";"vi2",#N/A,FALSE,"Financial Statements";#N/A,#N/A,FALSE,"DCF"}</definedName>
    <definedName name="Jo" hidden="1">{"vi1",#N/A,FALSE,"Financial Statements";"vi2",#N/A,FALSE,"Financial Statements";#N/A,#N/A,FALSE,"DCF"}</definedName>
    <definedName name="joaquim">{#N/A,"100% Success",TRUE,"Sales Forecast";#N/A,#N/A,TRUE,"Sheet2"}</definedName>
    <definedName name="joaquim_1">{#N/A,"100% Success",TRUE,"Sales Forecast";#N/A,#N/A,TRUE,"Sheet2"}</definedName>
    <definedName name="joaquim_2">{#N/A,"100% Success",TRUE,"Sales Forecast";#N/A,#N/A,TRUE,"Sheet2"}</definedName>
    <definedName name="Job">#REF!</definedName>
    <definedName name="JobCode">#REF!</definedName>
    <definedName name="Jose" localSheetId="2" hidden="1">{"vi1",#N/A,FALSE,"Financial Statements";"vi2",#N/A,FALSE,"Financial Statements";#N/A,#N/A,FALSE,"DCF"}</definedName>
    <definedName name="Jose" hidden="1">{"vi1",#N/A,FALSE,"Financial Statements";"vi2",#N/A,FALSE,"Financial Statements";#N/A,#N/A,FALSE,"DCF"}</definedName>
    <definedName name="jose31" localSheetId="2" hidden="1">{"vi1",#N/A,FALSE,"Financial Statements";"vi2",#N/A,FALSE,"Financial Statements";#N/A,#N/A,FALSE,"DCF"}</definedName>
    <definedName name="jose31" hidden="1">{"vi1",#N/A,FALSE,"Financial Statements";"vi2",#N/A,FALSE,"Financial Statements";#N/A,#N/A,FALSE,"DCF"}</definedName>
    <definedName name="jul" localSheetId="2">#REF!</definedName>
    <definedName name="jul">#REF!</definedName>
    <definedName name="julia">{#N/A,"10% Success",FALSE,"Sales Forecast";#N/A,#N/A,FALSE,"Sheet2"}</definedName>
    <definedName name="julia_1">{#N/A,"10% Success",FALSE,"Sales Forecast";#N/A,#N/A,FALSE,"Sheet2"}</definedName>
    <definedName name="julia_2">{#N/A,"10% Success",FALSE,"Sales Forecast";#N/A,#N/A,FALSE,"Sheet2"}</definedName>
    <definedName name="julia1">{#N/A,"70% Success",FALSE,"Sales Forecast";#N/A,#N/A,FALSE,"Sheet2"}</definedName>
    <definedName name="julia1_1">{#N/A,"70% Success",FALSE,"Sales Forecast";#N/A,#N/A,FALSE,"Sheet2"}</definedName>
    <definedName name="julia1_2">{#N/A,"70% Success",FALSE,"Sales Forecast";#N/A,#N/A,FALSE,"Sheet2"}</definedName>
    <definedName name="julia10">{#N/A,"10% Success",FALSE,"Sales Forecast";#N/A,#N/A,FALSE,"Sheet2"}</definedName>
    <definedName name="julia10_1">{#N/A,"10% Success",FALSE,"Sales Forecast";#N/A,#N/A,FALSE,"Sheet2"}</definedName>
    <definedName name="julia10_2">{#N/A,"10% Success",FALSE,"Sales Forecast";#N/A,#N/A,FALSE,"Sheet2"}</definedName>
    <definedName name="julia11">{#N/A,"100% Success",TRUE,"Sales Forecast";#N/A,#N/A,TRUE,"Sheet2"}</definedName>
    <definedName name="julia11_1">{#N/A,"100% Success",TRUE,"Sales Forecast";#N/A,#N/A,TRUE,"Sheet2"}</definedName>
    <definedName name="julia11_2">{#N/A,"100% Success",TRUE,"Sales Forecast";#N/A,#N/A,TRUE,"Sheet2"}</definedName>
    <definedName name="julia12">{#N/A,"30% Success",TRUE,"Sales Forecast";#N/A,#N/A,TRUE,"Sheet2"}</definedName>
    <definedName name="julia12_1">{#N/A,"30% Success",TRUE,"Sales Forecast";#N/A,#N/A,TRUE,"Sheet2"}</definedName>
    <definedName name="julia12_2">{#N/A,"30% Success",TRUE,"Sales Forecast";#N/A,#N/A,TRUE,"Sheet2"}</definedName>
    <definedName name="julia13">{#N/A,"70% Success",FALSE,"Sales Forecast";#N/A,#N/A,FALSE,"Sheet2"}</definedName>
    <definedName name="julia13_1">{#N/A,"70% Success",FALSE,"Sales Forecast";#N/A,#N/A,FALSE,"Sheet2"}</definedName>
    <definedName name="julia13_2">{#N/A,"70% Success",FALSE,"Sales Forecast";#N/A,#N/A,FALSE,"Sheet2"}</definedName>
    <definedName name="julia14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julia14_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julia14_2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julia2">{#N/A,"70% Success",FALSE,"Sales Forecast";#N/A,#N/A,FALSE,"Sheet2"}</definedName>
    <definedName name="julia2_1">{#N/A,"70% Success",FALSE,"Sales Forecast";#N/A,#N/A,FALSE,"Sheet2"}</definedName>
    <definedName name="julia2_2">{#N/A,"70% Success",FALSE,"Sales Forecast";#N/A,#N/A,FALSE,"Sheet2"}</definedName>
    <definedName name="julia3">{#N/A,"70% Success",FALSE,"Sales Forecast";#N/A,#N/A,FALSE,"Sheet2"}</definedName>
    <definedName name="julia3_1">{#N/A,"70% Success",FALSE,"Sales Forecast";#N/A,#N/A,FALSE,"Sheet2"}</definedName>
    <definedName name="julia3_2">{#N/A,"70% Success",FALSE,"Sales Forecast";#N/A,#N/A,FALSE,"Sheet2"}</definedName>
    <definedName name="julia4">{#N/A,"100% Success",TRUE,"Sales Forecast";#N/A,#N/A,TRUE,"Sheet2"}</definedName>
    <definedName name="julia4_1">{#N/A,"100% Success",TRUE,"Sales Forecast";#N/A,#N/A,TRUE,"Sheet2"}</definedName>
    <definedName name="julia4_2">{#N/A,"100% Success",TRUE,"Sales Forecast";#N/A,#N/A,TRUE,"Sheet2"}</definedName>
    <definedName name="julia5">{#N/A,"30% Success",TRUE,"Sales Forecast";#N/A,#N/A,TRUE,"Sheet2"}</definedName>
    <definedName name="julia5_1">{#N/A,"30% Success",TRUE,"Sales Forecast";#N/A,#N/A,TRUE,"Sheet2"}</definedName>
    <definedName name="julia5_2">{#N/A,"30% Success",TRUE,"Sales Forecast";#N/A,#N/A,TRUE,"Sheet2"}</definedName>
    <definedName name="julia6">{#N/A,"100% Success",TRUE,"Sales Forecast";#N/A,#N/A,TRUE,"Sheet2"}</definedName>
    <definedName name="julia6_1">{#N/A,"100% Success",TRUE,"Sales Forecast";#N/A,#N/A,TRUE,"Sheet2"}</definedName>
    <definedName name="julia6_2">{#N/A,"100% Success",TRUE,"Sales Forecast";#N/A,#N/A,TRUE,"Sheet2"}</definedName>
    <definedName name="julia7">{#N/A,"70% Success",FALSE,"Sales Forecast";#N/A,#N/A,FALSE,"Sheet2"}</definedName>
    <definedName name="julia7_1">{#N/A,"70% Success",FALSE,"Sales Forecast";#N/A,#N/A,FALSE,"Sheet2"}</definedName>
    <definedName name="julia7_2">{#N/A,"70% Success",FALSE,"Sales Forecast";#N/A,#N/A,FALSE,"Sheet2"}</definedName>
    <definedName name="julia8">{#N/A,"30% Success",TRUE,"Sales Forecast";#N/A,#N/A,TRUE,"Sheet2"}</definedName>
    <definedName name="julia8_1">{#N/A,"30% Success",TRUE,"Sales Forecast";#N/A,#N/A,TRUE,"Sheet2"}</definedName>
    <definedName name="julia8_2">{#N/A,"30% Success",TRUE,"Sales Forecast";#N/A,#N/A,TRUE,"Sheet2"}</definedName>
    <definedName name="julia9">{#N/A,"70% Success",FALSE,"Sales Forecast";#N/A,#N/A,FALSE,"Sheet2"}</definedName>
    <definedName name="julia9_1">{#N/A,"70% Success",FALSE,"Sales Forecast";#N/A,#N/A,FALSE,"Sheet2"}</definedName>
    <definedName name="julia9_2">{#N/A,"70% Success",FALSE,"Sales Forecast";#N/A,#N/A,FALSE,"Sheet2"}</definedName>
    <definedName name="jun" localSheetId="2">#REF!</definedName>
    <definedName name="jun">#REF!</definedName>
    <definedName name="June" localSheetId="2">#REF!</definedName>
    <definedName name="June">#REF!</definedName>
    <definedName name="k" localSheetId="2" hidden="1">{"det (May)",#N/A,FALSE,"June";"sum (MAY YTD)",#N/A,FALSE,"June YTD"}</definedName>
    <definedName name="k">#REF!</definedName>
    <definedName name="kalinin" localSheetId="2">#REF!</definedName>
    <definedName name="kalinin">#REF!</definedName>
    <definedName name="kamil" localSheetId="2" hidden="1">{"glc1",#N/A,FALSE,"GLC";"glc2",#N/A,FALSE,"GLC";"glc3",#N/A,FALSE,"GLC";"glc4",#N/A,FALSE,"GLC";"glc5",#N/A,FALSE,"GLC"}</definedName>
    <definedName name="kamil" hidden="1">{"glc1",#N/A,FALSE,"GLC";"glc2",#N/A,FALSE,"GLC";"glc3",#N/A,FALSE,"GLC";"glc4",#N/A,FALSE,"GLC";"glc5",#N/A,FALSE,"GLC"}</definedName>
    <definedName name="katkg" localSheetId="2" hidden="1">{#N/A,#N/A,FALSE,"ACQ_GRAPHS";#N/A,#N/A,FALSE,"T_1 GRAPHS";#N/A,#N/A,FALSE,"T_2 GRAPHS";#N/A,#N/A,FALSE,"COMB_GRAPHS"}</definedName>
    <definedName name="katkg" hidden="1">{#N/A,#N/A,FALSE,"ACQ_GRAPHS";#N/A,#N/A,FALSE,"T_1 GRAPHS";#N/A,#N/A,FALSE,"T_2 GRAPHS";#N/A,#N/A,FALSE,"COMB_GRAPHS"}</definedName>
    <definedName name="kazan" localSheetId="2">#REF!</definedName>
    <definedName name="kazan">#REF!</definedName>
    <definedName name="kBNT" localSheetId="2" hidden="1">{"'РП (2)'!$A$5:$S$150"}</definedName>
    <definedName name="kBNT" hidden="1">{"'РП (2)'!$A$5:$S$150"}</definedName>
    <definedName name="kegs" localSheetId="2" hidden="1">{"det (May)",#N/A,FALSE,"June";"sum (MAY YTD)",#N/A,FALSE,"June YTD"}</definedName>
    <definedName name="kegs">#REF!</definedName>
    <definedName name="kemerovo" localSheetId="2">#REF!</definedName>
    <definedName name="kemerovo">#REF!</definedName>
    <definedName name="Kempshott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FP" localSheetId="2" hidden="1">{"glc1",#N/A,FALSE,"GLC";"glc2",#N/A,FALSE,"GLC";"glc3",#N/A,FALSE,"GLC";"glc4",#N/A,FALSE,"GLC";"glc5",#N/A,FALSE,"GLC"}</definedName>
    <definedName name="KFP" hidden="1">{"glc1",#N/A,FALSE,"GLC";"glc2",#N/A,FALSE,"GLC";"glc3",#N/A,FALSE,"GLC";"glc4",#N/A,FALSE,"GLC";"glc5",#N/A,FALSE,"GLC"}</definedName>
    <definedName name="khabar" localSheetId="2">#REF!</definedName>
    <definedName name="khabar">#REF!</definedName>
    <definedName name="khj" localSheetId="2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hj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Ki">#REF!</definedName>
    <definedName name="kin" localSheetId="2" hidden="1">{#N/A,#N/A,FALSE,"Год 99."}</definedName>
    <definedName name="kin" hidden="1">{#N/A,#N/A,FALSE,"Год 99."}</definedName>
    <definedName name="kirov" localSheetId="2">#REF!</definedName>
    <definedName name="kirov">#REF!</definedName>
    <definedName name="kj" localSheetId="2" hidden="1">{"'РП (2)'!$A$5:$S$150"}</definedName>
    <definedName name="kj" hidden="1">{"'РП (2)'!$A$5:$S$150"}</definedName>
    <definedName name="kjhjhgfgs" localSheetId="2" hidden="1">{"'РП (2)'!$A$5:$S$150"}</definedName>
    <definedName name="kjhjhgfgs" hidden="1">{"'РП (2)'!$A$5:$S$150"}</definedName>
    <definedName name="kjk" localSheetId="2" hidden="1">{"'РП (2)'!$A$5:$S$150"}</definedName>
    <definedName name="kjk" hidden="1">{"'РП (2)'!$A$5:$S$150"}</definedName>
    <definedName name="kjkj" localSheetId="2" hidden="1">{"'РП (2)'!$A$5:$S$150"}</definedName>
    <definedName name="kjkj" hidden="1">{"'РП (2)'!$A$5:$S$150"}</definedName>
    <definedName name="kk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kk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kkk" localSheetId="2" hidden="1">{#N/A,#N/A,TRUE,"Буржуям"}</definedName>
    <definedName name="kkk" hidden="1">{#N/A,#N/A,TRUE,"Буржуям"}</definedName>
    <definedName name="kkkkk" localSheetId="2" hidden="1">{#N/A,#N/A,FALSE,"т02бд"}</definedName>
    <definedName name="kkkkk" hidden="1">{#N/A,#N/A,FALSE,"т02бд"}</definedName>
    <definedName name="klinlane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linlan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mh" localSheetId="2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N" localSheetId="2" hidden="1">{#N/A,#N/A,FALSE,"Valuation Assumptions";#N/A,#N/A,FALSE,"Summary";#N/A,#N/A,FALSE,"DCF";#N/A,#N/A,FALSE,"Valuation";#N/A,#N/A,FALSE,"WACC";#N/A,#N/A,FALSE,"UBVH";#N/A,#N/A,FALSE,"Free Cash Flow"}</definedName>
    <definedName name="KN" hidden="1">{#N/A,#N/A,FALSE,"Valuation Assumptions";#N/A,#N/A,FALSE,"Summary";#N/A,#N/A,FALSE,"DCF";#N/A,#N/A,FALSE,"Valuation";#N/A,#N/A,FALSE,"WACC";#N/A,#N/A,FALSE,"UBVH";#N/A,#N/A,FALSE,"Free Cash Flow"}</definedName>
    <definedName name="knl" localSheetId="2" hidden="1">{"баланс",#N/A,TRUE,"Баланс  на  декабрь"}</definedName>
    <definedName name="knl" hidden="1">{"баланс",#N/A,TRUE,"Баланс  на  декабрь"}</definedName>
    <definedName name="kol_fakt_prog" localSheetId="2">#REF!</definedName>
    <definedName name="kol_fakt_prog">#REF!</definedName>
    <definedName name="kol_god" localSheetId="2">#REF!</definedName>
    <definedName name="kol_god">#REF!</definedName>
    <definedName name="kol_pred_mes" localSheetId="2">#REF!</definedName>
    <definedName name="kol_pred_mes">#REF!</definedName>
    <definedName name="kol_progn_mes">#REF!</definedName>
    <definedName name="kop" localSheetId="2" hidden="1">{#N/A,#N/A,FALSE,"Aging Summary";#N/A,#N/A,FALSE,"Ratio Analysis";#N/A,#N/A,FALSE,"Test 120 Day Accts";#N/A,#N/A,FALSE,"Tickmarks"}</definedName>
    <definedName name="kop" hidden="1">{#N/A,#N/A,FALSE,"Aging Summary";#N/A,#N/A,FALSE,"Ratio Analysis";#N/A,#N/A,FALSE,"Test 120 Day Accts";#N/A,#N/A,FALSE,"Tickmarks"}</definedName>
    <definedName name="KPB">{"'CVB-Zinssatz Akt'!$A$2:$M$10","'CVB Ist'!$C$35:$O$37"}</definedName>
    <definedName name="kpbx">{"'CVB-Zinssatz Akt'!$A$2:$M$10","'CVB Ist'!$C$35:$O$37"}</definedName>
    <definedName name="KPI_комм_AS_IS_new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KPI_комм_AS_IS_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KRANJ">{"'CVB-Zinssatz Akt'!$A$2:$M$10","'CVB Ist'!$C$35:$O$37"}</definedName>
    <definedName name="krasnodar" localSheetId="2">#REF!</definedName>
    <definedName name="krasnodar">#REF!</definedName>
    <definedName name="krsnrsk" localSheetId="2">#REF!</definedName>
    <definedName name="krsnrsk">#REF!</definedName>
    <definedName name="ktzuk" localSheetId="2" hidden="1">{#N/A,#N/A,FALSE,"Aging Summary";#N/A,#N/A,FALSE,"Ratio Analysis";#N/A,#N/A,FALSE,"Test 120 Day Accts";#N/A,#N/A,FALSE,"Tickmarks"}</definedName>
    <definedName name="ktzuk" hidden="1">{#N/A,#N/A,FALSE,"Aging Summary";#N/A,#N/A,FALSE,"Ratio Analysis";#N/A,#N/A,FALSE,"Test 120 Day Accts";#N/A,#N/A,FALSE,"Tickmarks"}</definedName>
    <definedName name="KUBRA">#REF!</definedName>
    <definedName name="KUBRB">#REF!</definedName>
    <definedName name="KUBRC">#REF!</definedName>
    <definedName name="KUBRD">#REF!</definedName>
    <definedName name="KUBRE">#REF!</definedName>
    <definedName name="KUBRF">#REF!</definedName>
    <definedName name="KUBRG">#REF!</definedName>
    <definedName name="KUBRH">#REF!</definedName>
    <definedName name="KUBRI">#REF!</definedName>
    <definedName name="KUBRS">#REF!</definedName>
    <definedName name="kurgan" localSheetId="2">#REF!</definedName>
    <definedName name="kurgan">#REF!</definedName>
    <definedName name="kurs">#REF!</definedName>
    <definedName name="kurs_1">#REF!</definedName>
    <definedName name="kurs_jan">#REF!</definedName>
    <definedName name="KURS_USD">#REF!</definedName>
    <definedName name="kurs1">#REF!</definedName>
    <definedName name="kursk" localSheetId="2">#REF!</definedName>
    <definedName name="kursk">#REF!</definedName>
    <definedName name="KursUSD">#REF!</definedName>
    <definedName name="KV_SH_FIN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KV_SH_FIN" hidden="1">{"BOP_TAB",#N/A,FALSE,"N";"MIDTERM_TAB",#N/A,FALSE,"O";"FUND_CRED",#N/A,FALSE,"P";"DEBT_TAB1",#N/A,FALSE,"Q";"DEBT_TAB2",#N/A,FALSE,"Q";"FORFIN_TAB1",#N/A,FALSE,"R";"FORFIN_TAB2",#N/A,FALSE,"R";"BOP_ANALY",#N/A,FALSE,"U"}</definedName>
    <definedName name="Kvartal" localSheetId="2">#REF!</definedName>
    <definedName name="Kvartal">#REF!</definedName>
    <definedName name="l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ang">#NAME?</definedName>
    <definedName name="Language">#NAME?</definedName>
    <definedName name="LAURA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>#REF!</definedName>
    <definedName name="lf" localSheetId="2" hidden="1">#REF!</definedName>
    <definedName name="lf" hidden="1">#REF!</definedName>
    <definedName name="lhill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abilities" localSheetId="2">#REF!</definedName>
    <definedName name="liabilities">#REF!</definedName>
    <definedName name="liabilities_for" localSheetId="2">#REF!</definedName>
    <definedName name="liabilities_for">#REF!</definedName>
    <definedName name="liabilities_rub" localSheetId="2">#REF!</definedName>
    <definedName name="liabilities_rub">#REF!</definedName>
    <definedName name="limcount">1</definedName>
    <definedName name="lipetsk" localSheetId="2">#REF!</definedName>
    <definedName name="lipetsk">#REF!</definedName>
    <definedName name="Liphook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phook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IST_BLOCK" localSheetId="2">OFFSET(#REF!,MATCH([0]!ADD_LIST_BLOCK,#REF!,0)-1,1,COUNTIF(#REF!,[0]!ADD_LIST_BLOCK),1)</definedName>
    <definedName name="LIST_BLOCK">OFFSET(#REF!,MATCH(ADD_LIST_BLOCK,#REF!,0)-1,1,COUNTIF(#REF!,ADD_LIST_BLOCK),1)</definedName>
    <definedName name="List_Blocks">#REF!</definedName>
    <definedName name="List_BS_A_level_3">#REF!</definedName>
    <definedName name="List_BS_L_level_3">#REF!</definedName>
    <definedName name="List_Business_lines">#REF!</definedName>
    <definedName name="List_Capex">#REF!</definedName>
    <definedName name="List_Capex_disc">#REF!</definedName>
    <definedName name="List_capex_level_3">#REF!</definedName>
    <definedName name="List_CF_level_3">#REF!</definedName>
    <definedName name="List_COGS">#REF!</definedName>
    <definedName name="List_Companies">#REF!</definedName>
    <definedName name="List_CyberSec">#REF!</definedName>
    <definedName name="List_Inter">#REF!</definedName>
    <definedName name="List_Months">#REF!</definedName>
    <definedName name="List_opex_level_2">#REF!</definedName>
    <definedName name="List_opex_level_3">#REF!</definedName>
    <definedName name="List_PL_level_3">#REF!</definedName>
    <definedName name="List_Revenue">#REF!</definedName>
    <definedName name="List_Revenue_disc">#REF!</definedName>
    <definedName name="List_SGA">#REF!</definedName>
    <definedName name="List_SGA_level_3">#REF!</definedName>
    <definedName name="List_Staffing">#REF!</definedName>
    <definedName name="List_Units">#REF!</definedName>
    <definedName name="List10">#REF!</definedName>
    <definedName name="List11">#REF!</definedName>
    <definedName name="List12">#REF!</definedName>
    <definedName name="List13">#REF!</definedName>
    <definedName name="List14">#REF!</definedName>
    <definedName name="List2">#REF!</definedName>
    <definedName name="List3">#REF!</definedName>
    <definedName name="List4">#REF!</definedName>
    <definedName name="List5">#REF!</definedName>
    <definedName name="List6">#REF!</definedName>
    <definedName name="List7">#REF!</definedName>
    <definedName name="List8">#REF!</definedName>
    <definedName name="List9">#REF!</definedName>
    <definedName name="ListMarkets">OFFSET(#REF!,0,0,COUNTA(#REF!)-1)</definedName>
    <definedName name="ListOffset">1</definedName>
    <definedName name="Ljuba" localSheetId="2" hidden="1">#REF!</definedName>
    <definedName name="Ljuba" hidden="1">#REF!</definedName>
    <definedName name="lk">{"det (May)",#N/A,FALSE,"June";"sum (MAY YTD)",#N/A,FALSE,"June YTD"}</definedName>
    <definedName name="lkd" localSheetId="2" hidden="1">{#N/A,#N/A,FALSE,"Finanzplan";#N/A,#N/A,FALSE,"Bilanz";#N/A,#N/A,FALSE,"GuV"}</definedName>
    <definedName name="lkd" hidden="1">{#N/A,#N/A,FALSE,"Finanzplan";#N/A,#N/A,FALSE,"Bilanz";#N/A,#N/A,FALSE,"GuV"}</definedName>
    <definedName name="lkj" localSheetId="2" hidden="1">{#N/A,#N/A,FALSE,"Aging Summary";#N/A,#N/A,FALSE,"Ratio Analysis";#N/A,#N/A,FALSE,"Test 120 Day Accts";#N/A,#N/A,FALSE,"Tickmarks"}</definedName>
    <definedName name="lkj" hidden="1">{#N/A,#N/A,FALSE,"Aging Summary";#N/A,#N/A,FALSE,"Ratio Analysis";#N/A,#N/A,FALSE,"Test 120 Day Accts";#N/A,#N/A,FALSE,"Tickmarks"}</definedName>
    <definedName name="lkjhgfd" localSheetId="2" hidden="1">{"'РП (2)'!$A$5:$S$150"}</definedName>
    <definedName name="lkjhgfd" hidden="1">{"'РП (2)'!$A$5:$S$150"}</definedName>
    <definedName name="lkjhug" localSheetId="2" hidden="1">{"'РП (2)'!$A$5:$S$150"}</definedName>
    <definedName name="lkjhug" hidden="1">{"'РП (2)'!$A$5:$S$150"}</definedName>
    <definedName name="lkz">{TRUE,TRUE,-2,-15.8,483.6,261,FALSE,TRUE,TRUE,TRUE,0,1,#N/A,2,#N/A,30.9152542372881,5.08695652173913,1,FALSE,FALSE,3,TRUE,1,FALSE,100,"Swvu.Для._.И.М..","ACwvu.Для._.И.М..",#N/A,FALSE,FALSE,0.196850393700787,0.196850393700787,0.47244094488189,0.47244094488189,2,"&amp;CКредитный портфель по состоянию на 01.06.99г.","Страница &amp;P из &amp;N",TRUE,FALSE,FALSE,FALSE,1,67,#N/A,#N/A,FALSE,"=C21,R1:R3","Rwvu.Для._.И.М..",#N/A,FALSE,FALSE,TRUE,9,300,300,FALSE,FALSE,TRUE,TRUE,TRUE}</definedName>
    <definedName name="ll">{"'CVB-Zinssatz Akt'!$A$2:$M$10","'CVB Ist'!$C$35:$O$37"}</definedName>
    <definedName name="llist10">#REF!</definedName>
    <definedName name="llist11">#REF!</definedName>
    <definedName name="llist12">#REF!</definedName>
    <definedName name="llist13">#REF!</definedName>
    <definedName name="llist14">#REF!</definedName>
    <definedName name="llist2">#REF!</definedName>
    <definedName name="llist3">#REF!</definedName>
    <definedName name="llist4">#REF!</definedName>
    <definedName name="llist5">#REF!</definedName>
    <definedName name="llist6">#REF!</definedName>
    <definedName name="llist7">#REF!</definedName>
    <definedName name="llist8">#REF!</definedName>
    <definedName name="llist9">#REF!</definedName>
    <definedName name="lll" localSheetId="2" hidden="1">{#N/A,#N/A,FALSE,"т02бд"}</definedName>
    <definedName name="lll" hidden="1">{#N/A,#N/A,FALSE,"т02бд"}</definedName>
    <definedName name="lllist12" localSheetId="2">#REF!</definedName>
    <definedName name="lllist12">#REF!</definedName>
    <definedName name="llll" localSheetId="2" hidden="1">{#N/A,#N/A,FALSE,"Год 99."}</definedName>
    <definedName name="llll" hidden="1">{#N/A,#N/A,FALSE,"Год 99."}</definedName>
    <definedName name="LLP">#REF!</definedName>
    <definedName name="Loan2_Currency">#NAME?</definedName>
    <definedName name="LOANS_ADVANCES" localSheetId="2">#REF!</definedName>
    <definedName name="LOANS_ADVANCES">#REF!</definedName>
    <definedName name="LoanVal4Q">#NAME?</definedName>
    <definedName name="lop">{TRUE,TRUE,-2,-15.8,483.6,261,FALSE,TRUE,TRUE,TRUE,0,1,#N/A,1,#N/A,29.8133333333333,5.58139534883721,1,FALSE,FALSE,3,TRUE,1,FALSE,100,"Swvu.Ревизорам.","ACwvu.Ревизорам.",#N/A,FALSE,FALSE,0.196850393700787,0.196850393700787,0.47244094488189,0.47244094488189,2,"&amp;CКредитный портфель по состоянию на 01.06.99г.","Страница &amp;P из &amp;N",TRUE,FALSE,FALSE,FALSE,1,#N/A,1,30,FALSE,"=C21,R1:R3","Rwvu.Ревизорам.",#N/A,FALSE,FALSE,FALSE,9,300,300,FALSE,FALSE,TRUE,TRUE,TRUE}</definedName>
    <definedName name="Lordshill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ords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tybc1" localSheetId="2" hidden="1">{#N/A,#N/A,FALSE,"Закрытые кредиты"}</definedName>
    <definedName name="Ltybc1" hidden="1">{#N/A,#N/A,FALSE,"Закрытые кредиты"}</definedName>
    <definedName name="m" localSheetId="2">#REF!</definedName>
    <definedName name="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_PERIOD_NAME" hidden="1">#NAME?</definedName>
    <definedName name="Ma" localSheetId="2">#REF!</definedName>
    <definedName name="Ma">#REF!</definedName>
    <definedName name="Macro" localSheetId="2">OFFSET(#REF!,,,COUNTA(#REF!)-1)</definedName>
    <definedName name="Macro">OFFSET(#REF!,,,COUNTA(#REF!)-1)</definedName>
    <definedName name="magn" localSheetId="2">#REF!</definedName>
    <definedName name="magn">#REF!</definedName>
    <definedName name="makhach" localSheetId="2">#REF!</definedName>
    <definedName name="makhach">#REF!</definedName>
    <definedName name="mar" localSheetId="2">#REF!</definedName>
    <definedName name="mar">#REF!</definedName>
    <definedName name="market">{#N/A,"70% Success",FALSE,"Sales Forecast";#N/A,#N/A,FALSE,"Sheet2"}</definedName>
    <definedName name="market_1">{#N/A,"70% Success",FALSE,"Sales Forecast";#N/A,#N/A,FALSE,"Sheet2"}</definedName>
    <definedName name="market_2">{#N/A,"70% Success",FALSE,"Sales Forecast";#N/A,#N/A,FALSE,"Sheet2"}</definedName>
    <definedName name="may" localSheetId="2">#REF!</definedName>
    <definedName name="may">#REF!</definedName>
    <definedName name="MCL_sheet_inc" localSheetId="2" hidden="1">{"'Sheet1'!$A$1:$X$25"}</definedName>
    <definedName name="MCL_sheet_inc" hidden="1">{"'Sheet1'!$A$1:$X$25"}</definedName>
    <definedName name="Medjugorje">{"'CVB-Zinssatz Akt'!$A$2:$M$10","'CVB Ist'!$C$35:$O$37"}</definedName>
    <definedName name="Menu" localSheetId="2">#REF!</definedName>
    <definedName name="Menu">#REF!</definedName>
    <definedName name="MereGreen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re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trics_eng">#REF!</definedName>
    <definedName name="Metrics_rus">#REF!</definedName>
    <definedName name="MEWarning" hidden="1">1</definedName>
    <definedName name="mg" localSheetId="2">#REF!</definedName>
    <definedName name="mg">#REF!</definedName>
    <definedName name="mmm" localSheetId="2" hidden="1">{"orixcsc",#N/A,FALSE,"ORIX CSC";"orixcsc2",#N/A,FALSE,"ORIX CSC"}</definedName>
    <definedName name="mmm" hidden="1">{"orixcsc",#N/A,FALSE,"ORIX CSC";"orixcsc2",#N/A,FALSE,"ORIX CSC"}</definedName>
    <definedName name="mmmm" localSheetId="2" hidden="1">{"orixcsc",#N/A,FALSE,"ORIX CSC";"orixcsc2",#N/A,FALSE,"ORIX CSC"}</definedName>
    <definedName name="mmmm" hidden="1">{"orixcsc",#N/A,FALSE,"ORIX CSC";"orixcsc2",#N/A,FALSE,"ORIX CSC"}</definedName>
    <definedName name="mmmmm" localSheetId="2" hidden="1">{"mgmt forecast",#N/A,FALSE,"Mgmt Forecast";"dcf table",#N/A,FALSE,"Mgmt Forecast";"sensitivity",#N/A,FALSE,"Mgmt Forecast";"table inputs",#N/A,FALSE,"Mgmt Forecast";"calculations",#N/A,FALSE,"Mgmt Forecast"}</definedName>
    <definedName name="mmmmm" hidden="1">{"mgmt forecast",#N/A,FALSE,"Mgmt Forecast";"dcf table",#N/A,FALSE,"Mgmt Forecast";"sensitivity",#N/A,FALSE,"Mgmt Forecast";"table inputs",#N/A,FALSE,"Mgmt Forecast";"calculations",#N/A,FALSE,"Mgmt Forecast"}</definedName>
    <definedName name="mmmmmm" localSheetId="2" hidden="1">{#N/A,#N/A,FALSE,"Contribution Analysis"}</definedName>
    <definedName name="mmmmmm" hidden="1">{#N/A,#N/A,FALSE,"Contribution Analysis"}</definedName>
    <definedName name="mmmmmmmhm" localSheetId="2" hidden="1">{"mgmt forecast",#N/A,FALSE,"Mgmt Forecast";"dcf table",#N/A,FALSE,"Mgmt Forecast";"sensitivity",#N/A,FALSE,"Mgmt Forecast";"table inputs",#N/A,FALSE,"Mgmt Forecast";"calculations",#N/A,FALSE,"Mgmt Forecast"}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localSheetId="2" hidden="1">{#N/A,#N/A,FALSE,"ORIX CSC"}</definedName>
    <definedName name="mmmmmmmm" hidden="1">{#N/A,#N/A,FALSE,"ORIX CSC"}</definedName>
    <definedName name="mmmmmmmmm" localSheetId="2" hidden="1">{#N/A,#N/A,TRUE,"Лист2"}</definedName>
    <definedName name="mmmmmmmmm" hidden="1">{#N/A,#N/A,TRUE,"Лист2"}</definedName>
    <definedName name="mn" localSheetId="2" hidden="1">{"MONA",#N/A,FALSE,"S"}</definedName>
    <definedName name="mn" hidden="1">{"MONA",#N/A,FALSE,"S"}</definedName>
    <definedName name="Model_start">#REF!</definedName>
    <definedName name="Month" localSheetId="2">#REF!</definedName>
    <definedName name="Month">#REF!</definedName>
    <definedName name="Month_Num" localSheetId="2">#REF!</definedName>
    <definedName name="Month_Num">#REF!</definedName>
    <definedName name="MonthlyCompPay_Avg">#REF!</definedName>
    <definedName name="MonthlyCompPay_AvgW">#REF!</definedName>
    <definedName name="MonthlyCompPay_Prc_1">#REF!</definedName>
    <definedName name="MonthlyCompPay_Prc_2">#REF!</definedName>
    <definedName name="MonthlyCompPay_Prc_3">#REF!</definedName>
    <definedName name="MonthlyCompPay_Prc_4">#REF!</definedName>
    <definedName name="MonthlyCompPay_Prc_5">#REF!</definedName>
    <definedName name="MonthlyCompPay1_Avg">#REF!</definedName>
    <definedName name="MonthlyCompPay1_AvgW">#REF!</definedName>
    <definedName name="MonthlyCompPay1_Prc_1">#REF!</definedName>
    <definedName name="MonthlyCompPay1_Prc_2">#REF!</definedName>
    <definedName name="MonthlyCompPay1_Prc_3">#REF!</definedName>
    <definedName name="MonthlyCompPay1_Prc_4">#REF!</definedName>
    <definedName name="MonthlyCompPay1_Prc_5">#REF!</definedName>
    <definedName name="MonthlyCompPay2_Avg">#REF!</definedName>
    <definedName name="MonthlyCompPay2_AvgW">#REF!</definedName>
    <definedName name="MonthlyCompPay2_Prc_1">#REF!</definedName>
    <definedName name="MonthlyCompPay2_Prc_2">#REF!</definedName>
    <definedName name="MonthlyCompPay2_Prc_3">#REF!</definedName>
    <definedName name="MonthlyCompPay2_Prc_4">#REF!</definedName>
    <definedName name="MonthlyCompPay2_Prc_5">#REF!</definedName>
    <definedName name="MonthlyCompPay3_Avg">#REF!</definedName>
    <definedName name="MonthlyCompPay3_AvgW">#REF!</definedName>
    <definedName name="MonthlyCompPay3_Prc_1">#REF!</definedName>
    <definedName name="MonthlyCompPay3_Prc_2">#REF!</definedName>
    <definedName name="MonthlyCompPay3_Prc_3">#REF!</definedName>
    <definedName name="MonthlyCompPay3_Prc_4">#REF!</definedName>
    <definedName name="MonthlyCompPay3_Prc_5">#REF!</definedName>
    <definedName name="MonthlyPayStruct_1">#REF!</definedName>
    <definedName name="MonthlyPayStruct_2">#REF!</definedName>
    <definedName name="MonthlyPayStruct_3">#REF!</definedName>
    <definedName name="MonthlyPayStruct_4">#REF!</definedName>
    <definedName name="MonthlyStatePay_Avg">#REF!</definedName>
    <definedName name="MonthlyStatePay_AvgW">#REF!</definedName>
    <definedName name="MonthlyStatePay_Prc_1">#REF!</definedName>
    <definedName name="MonthlyStatePay_Prc_2">#REF!</definedName>
    <definedName name="MonthlyStatePay_Prc_3">#REF!</definedName>
    <definedName name="MonthlyStatePay_Prc_4">#REF!</definedName>
    <definedName name="MonthlyStatePay_Prc_5">#REF!</definedName>
    <definedName name="MonthlyTotalPay_AvgW">#REF!</definedName>
    <definedName name="MonthlyTotalPay_Prc_1">#REF!</definedName>
    <definedName name="MonthlyTotalPay_Prc_5">#REF!</definedName>
    <definedName name="Months_yr">#REF!</definedName>
    <definedName name="MonthsInSemester">#NAME?</definedName>
    <definedName name="MOSA">#REF!</definedName>
    <definedName name="MOSB">#REF!</definedName>
    <definedName name="MOSC">#REF!</definedName>
    <definedName name="MOSD">#REF!</definedName>
    <definedName name="MOSE">#REF!</definedName>
    <definedName name="MOSF1">#REF!</definedName>
    <definedName name="MOSF2">#REF!</definedName>
    <definedName name="MOSG">#REF!</definedName>
    <definedName name="MOSH">#REF!</definedName>
    <definedName name="MOSI">#REF!</definedName>
    <definedName name="MOSJ">#REF!</definedName>
    <definedName name="MOSK">#REF!</definedName>
    <definedName name="MOSL">#REF!</definedName>
    <definedName name="MOSS">#REF!</definedName>
    <definedName name="MPRO092770__PRO_214482">#REF!</definedName>
    <definedName name="MscoInputCell100" hidden="1">#NAME?</definedName>
    <definedName name="MscoInputCell101" hidden="1">#NAME?</definedName>
    <definedName name="MscoInputCell102" hidden="1">#NAME?</definedName>
    <definedName name="MscoInputCell103" hidden="1">#NAME?</definedName>
    <definedName name="MscoInputCell104" hidden="1">#NAME?</definedName>
    <definedName name="MscoInputCell105" hidden="1">#NAME?</definedName>
    <definedName name="MscoInputCell108" hidden="1">#NAME?</definedName>
    <definedName name="MscoInputCell111" hidden="1">#NAME?</definedName>
    <definedName name="MscoInputCell112" hidden="1">#NAME?</definedName>
    <definedName name="MscoInputCell113" hidden="1">#NAME?</definedName>
    <definedName name="MscoInputCell114" hidden="1">#NAME?</definedName>
    <definedName name="MscoInputCell115" hidden="1">#NAME?</definedName>
    <definedName name="MscoInputCell116" hidden="1">#NAME?</definedName>
    <definedName name="MscoInputCell117" hidden="1">#NAME?</definedName>
    <definedName name="MscoInputCell118" hidden="1">#NAME?</definedName>
    <definedName name="MscoInputCell119" hidden="1">#NAME?</definedName>
    <definedName name="MscoInputCell120" hidden="1">#NAME?</definedName>
    <definedName name="MscoInputCell121" hidden="1">#NAME?</definedName>
    <definedName name="MscoInputCell122" hidden="1">#NAME?</definedName>
    <definedName name="MscoInputCell123" hidden="1">#NAME?</definedName>
    <definedName name="MscoInputCell124" hidden="1">#NAME?</definedName>
    <definedName name="MscoInputCell125" hidden="1">#NAME?</definedName>
    <definedName name="MscoInputCell126" hidden="1">#NAME?</definedName>
    <definedName name="MscoInputCell127" hidden="1">#NAME?</definedName>
    <definedName name="MscoInputCell128" hidden="1">#NAME?</definedName>
    <definedName name="MscoInputCell129" hidden="1">#NAME?</definedName>
    <definedName name="MscoInputCell130" hidden="1">#NAME?</definedName>
    <definedName name="MscoInputCell131" hidden="1">#NAME?</definedName>
    <definedName name="MscoInputCell132" hidden="1">#NAME?</definedName>
    <definedName name="MscoInputCell133" hidden="1">#NAME?</definedName>
    <definedName name="MscoInputCell134" hidden="1">#NAME?</definedName>
    <definedName name="MscoInputCell135" hidden="1">#NAME?</definedName>
    <definedName name="MscoInputCell136" hidden="1">#NAME?</definedName>
    <definedName name="MscoInputCell137" hidden="1">#NAME?</definedName>
    <definedName name="MscoInputCell138" hidden="1">#NAME?</definedName>
    <definedName name="MscoInputCell139" hidden="1">#NAME?</definedName>
    <definedName name="MscoInputCell140" hidden="1">#NAME?</definedName>
    <definedName name="MscoInputCell141" hidden="1">#NAME?</definedName>
    <definedName name="MscoInputCell142" hidden="1">#NAME?</definedName>
    <definedName name="MscoInputCell143" hidden="1">#NAME?</definedName>
    <definedName name="MscoInputCell144" hidden="1">#NAME?</definedName>
    <definedName name="MscoInputCell145" hidden="1">#NAME?</definedName>
    <definedName name="MscoInputCell146" hidden="1">#NAME?</definedName>
    <definedName name="MscoInputCell147" hidden="1">#NAME?</definedName>
    <definedName name="MscoInputCell148" hidden="1">#NAME?</definedName>
    <definedName name="MscoInputCell149" hidden="1">#NAME?</definedName>
    <definedName name="MscoInputCell150" hidden="1">#NAME?</definedName>
    <definedName name="MscoInputCell151" hidden="1">#NAME?</definedName>
    <definedName name="MscoInputCell152" hidden="1">#NAME?</definedName>
    <definedName name="MscoInputCell153" hidden="1">#NAME?</definedName>
    <definedName name="MscoInputCell154" hidden="1">#NAME?</definedName>
    <definedName name="MscoInputCell155" hidden="1">#NAME?</definedName>
    <definedName name="MscoInputCell156" hidden="1">#NAME?</definedName>
    <definedName name="MscoInputCell157" hidden="1">#NAME?</definedName>
    <definedName name="MscoInputCell158" hidden="1">#NAME?</definedName>
    <definedName name="MscoInputCell159" hidden="1">#NAME?</definedName>
    <definedName name="MscoInputCell160" hidden="1">#NAME?</definedName>
    <definedName name="MscoInputCell161" hidden="1">#NAME?</definedName>
    <definedName name="MscoInputCell162" hidden="1">#NAME?</definedName>
    <definedName name="MscoInputCell163" hidden="1">#NAME?</definedName>
    <definedName name="MscoInputCell164" hidden="1">#NAME?</definedName>
    <definedName name="MscoInputCell165" hidden="1">#NAME?</definedName>
    <definedName name="MscoInputCell166" hidden="1">#NAME?</definedName>
    <definedName name="MscoInputCell167" hidden="1">#NAME?</definedName>
    <definedName name="MscoInputCell168" hidden="1">#NAME?</definedName>
    <definedName name="MscoInputCell169" hidden="1">#NAME?</definedName>
    <definedName name="MscoInputCell170" hidden="1">#NAME?</definedName>
    <definedName name="MscoInputCell171" hidden="1">#NAME?</definedName>
    <definedName name="MscoInputCell172" hidden="1">#NAME?</definedName>
    <definedName name="MscoInputCell173" hidden="1">#NAME?</definedName>
    <definedName name="MscoInputCell174" hidden="1">#NAME?</definedName>
    <definedName name="MscoInputCell175" hidden="1">#NAME?</definedName>
    <definedName name="MscoInputCell176" hidden="1">#NAME?</definedName>
    <definedName name="MscoInputCell177" hidden="1">#NAME?</definedName>
    <definedName name="MscoInputCell178" hidden="1">#NAME?</definedName>
    <definedName name="MscoInputCell179" hidden="1">#NAME?</definedName>
    <definedName name="MscoInputCell180" hidden="1">#NAME?</definedName>
    <definedName name="MscoInputCell181" hidden="1">#NAME?</definedName>
    <definedName name="MscoInputCell182" hidden="1">#NAME?</definedName>
    <definedName name="MscoInputCell183" hidden="1">#NAME?</definedName>
    <definedName name="MscoInputCell184" hidden="1">#NAME?</definedName>
    <definedName name="MscoInputCell185" hidden="1">#NAME?</definedName>
    <definedName name="MscoInputCell186" hidden="1">#NAME?</definedName>
    <definedName name="MscoInputCell187" hidden="1">#NAME?</definedName>
    <definedName name="MscoInputCell188" hidden="1">#NAME?</definedName>
    <definedName name="MscoInputCell189" hidden="1">#NAME?</definedName>
    <definedName name="MscoInputCell190" hidden="1">#NAME?</definedName>
    <definedName name="MscoInputCell191" hidden="1">#NAME?</definedName>
    <definedName name="MscoInputCell192" hidden="1">#NAME?</definedName>
    <definedName name="MscoInputCell193" hidden="1">#NAME?</definedName>
    <definedName name="MscoInputCell194" hidden="1">#NAME?</definedName>
    <definedName name="MscoInputCell195" hidden="1">#NAME?</definedName>
    <definedName name="MscoInputCell196" hidden="1">#NAME?</definedName>
    <definedName name="MscoInputCell197" hidden="1">#NAME?</definedName>
    <definedName name="MscoInputCell198" hidden="1">#NAME?</definedName>
    <definedName name="MscoInputCell199" hidden="1">#NAME?</definedName>
    <definedName name="MscoInputCell200" hidden="1">#NAME?</definedName>
    <definedName name="MscoInputCell201" hidden="1">#NAME?</definedName>
    <definedName name="MscoInputCell202" hidden="1">#NAME?</definedName>
    <definedName name="MscoInputCell203" hidden="1">#NAME?</definedName>
    <definedName name="MscoInputCell204" hidden="1">#NAME?</definedName>
    <definedName name="MscoInputCell205" hidden="1">#NAME?</definedName>
    <definedName name="MscoInputCell206" hidden="1">#NAME?</definedName>
    <definedName name="MscoInputCell207" hidden="1">#NAME?</definedName>
    <definedName name="MscoInputCell208" hidden="1">#NAME?</definedName>
    <definedName name="MscoInputCell209" hidden="1">#NAME?</definedName>
    <definedName name="MscoInputCell210" hidden="1">#NAME?</definedName>
    <definedName name="MscoInputCell211" hidden="1">#NAME?</definedName>
    <definedName name="MscoInputCell212" hidden="1">#NAME?</definedName>
    <definedName name="MscoInputCell213" hidden="1">#NAME?</definedName>
    <definedName name="MscoInputCell214" hidden="1">#NAME?</definedName>
    <definedName name="MscoInputCell215" hidden="1">#NAME?</definedName>
    <definedName name="MscoInputCell216" hidden="1">#NAME?</definedName>
    <definedName name="MscoInputCell217" hidden="1">#NAME?</definedName>
    <definedName name="MscoInputCell218" hidden="1">#NAME?</definedName>
    <definedName name="MscoInputCell219" hidden="1">#NAME?</definedName>
    <definedName name="MscoInputCell220" hidden="1">#NAME?</definedName>
    <definedName name="MscoInputCell221" hidden="1">#NAME?</definedName>
    <definedName name="MscoInputCell222" hidden="1">#NAME?</definedName>
    <definedName name="MscoInputCell223" hidden="1">#NAME?</definedName>
    <definedName name="MscoInputCell224" hidden="1">#NAME?</definedName>
    <definedName name="MscoInputCell225" hidden="1">#NAME?</definedName>
    <definedName name="MscoInputCell226" hidden="1">#NAME?</definedName>
    <definedName name="MscoInputCell227" hidden="1">#NAME?</definedName>
    <definedName name="MscoInputCell228" hidden="1">#NAME?</definedName>
    <definedName name="MscoInputCell229" hidden="1">#NAME?</definedName>
    <definedName name="MscoInputCell230" hidden="1">#NAME?</definedName>
    <definedName name="MscoInputCell231" hidden="1">#NAME?</definedName>
    <definedName name="MscoInputCell232" hidden="1">#NAME?</definedName>
    <definedName name="MscoInputCell233" hidden="1">#NAME?</definedName>
    <definedName name="MscoInputCell234" hidden="1">#NAME?</definedName>
    <definedName name="MscoInputCell235" hidden="1">#NAME?</definedName>
    <definedName name="MscoInputCell236" hidden="1">#NAME?</definedName>
    <definedName name="MscoInputCell237" hidden="1">#NAME?</definedName>
    <definedName name="MscoInputCell238" hidden="1">#NAME?</definedName>
    <definedName name="MscoInputCell239" hidden="1">#NAME?</definedName>
    <definedName name="MscoInputCell240" hidden="1">#NAME?</definedName>
    <definedName name="MscoInputCell241" hidden="1">#NAME?</definedName>
    <definedName name="MscoInputCell242" hidden="1">#NAME?</definedName>
    <definedName name="MscoInputCell243" hidden="1">#NAME?</definedName>
    <definedName name="MscoInputCell244" hidden="1">#NAME?</definedName>
    <definedName name="MscoInputCell245" hidden="1">#NAME?</definedName>
    <definedName name="MscoInputCell246" hidden="1">#NAME?</definedName>
    <definedName name="MscoInputCell247" hidden="1">#NAME?</definedName>
    <definedName name="MscoInputCell248" hidden="1">#NAME?</definedName>
    <definedName name="MscoInputCell249" hidden="1">#NAME?</definedName>
    <definedName name="MscoInputCell250" hidden="1">#NAME?</definedName>
    <definedName name="MscoInputCell251" hidden="1">#NAME?</definedName>
    <definedName name="MscoInputCell252" hidden="1">#NAME?</definedName>
    <definedName name="MscoInputCell253" hidden="1">#NAME?</definedName>
    <definedName name="MscoInputCell254" hidden="1">#NAME?</definedName>
    <definedName name="MscoInputCell255" hidden="1">#NAME?</definedName>
    <definedName name="MscoInputCell256" hidden="1">#NAME?</definedName>
    <definedName name="MscoInputCell257" hidden="1">#NAME?</definedName>
    <definedName name="MscoInputCell258" hidden="1">#NAME?</definedName>
    <definedName name="MscoInputCell259" hidden="1">#NAME?</definedName>
    <definedName name="MscoInputCell260" hidden="1">#NAME?</definedName>
    <definedName name="MscoInputCell261" hidden="1">#NAME?</definedName>
    <definedName name="MscoInputCell262" hidden="1">#NAME?</definedName>
    <definedName name="MscoInputCell263" hidden="1">#NAME?</definedName>
    <definedName name="MscoInputCell264" hidden="1">#NAME?</definedName>
    <definedName name="MscoInputCell265" hidden="1">#NAME?</definedName>
    <definedName name="MscoInputCell266" hidden="1">#NAME?</definedName>
    <definedName name="MscoInputCell267" hidden="1">#NAME?</definedName>
    <definedName name="MscoInputCell268" hidden="1">#NAME?</definedName>
    <definedName name="MscoInputCell269" hidden="1">#NAME?</definedName>
    <definedName name="MscoInputCell270" hidden="1">#NAME?</definedName>
    <definedName name="MscoInputCell271" hidden="1">#NAME?</definedName>
    <definedName name="MscoInputCell272" hidden="1">#NAME?</definedName>
    <definedName name="MscoInputCell273" hidden="1">#NAME?</definedName>
    <definedName name="MscoInputCell274" hidden="1">#NAME?</definedName>
    <definedName name="MscoInputCell275" hidden="1">#NAME?</definedName>
    <definedName name="MscoInputCell276" hidden="1">#NAME?</definedName>
    <definedName name="MscoInputCell277" hidden="1">#NAME?</definedName>
    <definedName name="MscoInputCell278" hidden="1">#NAME?</definedName>
    <definedName name="MscoInputCell279" hidden="1">#NAME?</definedName>
    <definedName name="MscoInputCell280" hidden="1">#NAME?</definedName>
    <definedName name="MscoInputCell281" hidden="1">#NAME?</definedName>
    <definedName name="MscoInputCell282" hidden="1">#NAME?</definedName>
    <definedName name="MscoInputCell283" hidden="1">#NAME?</definedName>
    <definedName name="MscoInputCell284" hidden="1">#NAME?</definedName>
    <definedName name="MscoInputCell285" hidden="1">#NAME?</definedName>
    <definedName name="MscoInputCell286" hidden="1">#NAME?</definedName>
    <definedName name="MscoInputCell287" hidden="1">#NAME?</definedName>
    <definedName name="MscoInputCell288" hidden="1">#NAME?</definedName>
    <definedName name="MscoInputCell289" hidden="1">#NAME?</definedName>
    <definedName name="MscoInputCell290" hidden="1">#NAME?</definedName>
    <definedName name="MscoInputCell291" hidden="1">#NAME?</definedName>
    <definedName name="MscoInputCell292" hidden="1">#NAME?</definedName>
    <definedName name="MscoInputCell293" hidden="1">#NAME?</definedName>
    <definedName name="MscoInputCell294" hidden="1">#NAME?</definedName>
    <definedName name="MscoInputCell295" hidden="1">#NAME?</definedName>
    <definedName name="MscoInputCell296" hidden="1">#NAME?</definedName>
    <definedName name="MscoInputCell297" hidden="1">#NAME?</definedName>
    <definedName name="MscoInputCell298" hidden="1">#NAME?</definedName>
    <definedName name="MscoInputCell299" hidden="1">#NAME?</definedName>
    <definedName name="MscoInputCell300" hidden="1">#NAME?</definedName>
    <definedName name="MscoInputCell301" hidden="1">#NAME?</definedName>
    <definedName name="MscoInputCell302" hidden="1">#NAME?</definedName>
    <definedName name="MscoInputCell303" hidden="1">#NAME?</definedName>
    <definedName name="MscoInputCell304" hidden="1">#NAME?</definedName>
    <definedName name="MscoInputCell305" hidden="1">#NAME?</definedName>
    <definedName name="MscoInputCell306" hidden="1">#NAME?</definedName>
    <definedName name="MscoInputCell307" hidden="1">#NAME?</definedName>
    <definedName name="MscoInputCell308" hidden="1">#NAME?</definedName>
    <definedName name="MscoInputCell309" hidden="1">#NAME?</definedName>
    <definedName name="MscoInputCell310" hidden="1">#NAME?</definedName>
    <definedName name="MscoInputCell311" hidden="1">#NAME?</definedName>
    <definedName name="MscoInputCell312" hidden="1">#NAME?</definedName>
    <definedName name="MscoInputCell313" hidden="1">#NAME?</definedName>
    <definedName name="MscoInputCell314" hidden="1">#NAME?</definedName>
    <definedName name="MscoInputCell315" hidden="1">#NAME?</definedName>
    <definedName name="MscoInputCell316" hidden="1">#NAME?</definedName>
    <definedName name="MscoInputCell317" hidden="1">#NAME?</definedName>
    <definedName name="MscoInputCell318" hidden="1">#NAME?</definedName>
    <definedName name="MscoInputCell319" hidden="1">#NAME?</definedName>
    <definedName name="MscoInputCell320" hidden="1">#NAME?</definedName>
    <definedName name="MscoInputCell321" hidden="1">#NAME?</definedName>
    <definedName name="MscoInputCell322" hidden="1">#NAME?</definedName>
    <definedName name="MscoInputCell323" hidden="1">#NAME?</definedName>
    <definedName name="MscoInputCell324" hidden="1">#NAME?</definedName>
    <definedName name="MscoInputCell325" hidden="1">#NAME?</definedName>
    <definedName name="MscoInputCell326" hidden="1">#NAME?</definedName>
    <definedName name="MscoInputCell327" hidden="1">#NAME?</definedName>
    <definedName name="MscoInputCell328" hidden="1">#NAME?</definedName>
    <definedName name="MscoInputCell329" hidden="1">#NAME?</definedName>
    <definedName name="MscoInputCell330" hidden="1">#NAME?</definedName>
    <definedName name="MscoInputCell331" hidden="1">#NAME?</definedName>
    <definedName name="MscoInputCell332" hidden="1">#NAME?</definedName>
    <definedName name="MscoInputCell333" hidden="1">#NAME?</definedName>
    <definedName name="MscoInputCell334" hidden="1">#NAME?</definedName>
    <definedName name="MscoInputCell335" hidden="1">#NAME?</definedName>
    <definedName name="MscoInputCell336" hidden="1">#NAME?</definedName>
    <definedName name="MscoInputCell337" hidden="1">#NAME?</definedName>
    <definedName name="MscoInputCell338" hidden="1">#NAME?</definedName>
    <definedName name="MscoInputCell339" hidden="1">#NAME?</definedName>
    <definedName name="MscoInputCell340" hidden="1">#NAME?</definedName>
    <definedName name="MscoInputCell341" hidden="1">#NAME?</definedName>
    <definedName name="MscoInputCell342" hidden="1">#NAME?</definedName>
    <definedName name="MscoInputCell343" hidden="1">#NAME?</definedName>
    <definedName name="MscoInputCell344" hidden="1">#NAME?</definedName>
    <definedName name="MscoInputCell345" hidden="1">#NAME?</definedName>
    <definedName name="MscoInputCell346" hidden="1">#NAME?</definedName>
    <definedName name="MscoInputCell347" hidden="1">#NAME?</definedName>
    <definedName name="MscoInputCell348" hidden="1">#NAME?</definedName>
    <definedName name="MscoInputCell349" hidden="1">#NAME?</definedName>
    <definedName name="MscoInputCell350" hidden="1">#NAME?</definedName>
    <definedName name="MscoInputCell351" hidden="1">#NAME?</definedName>
    <definedName name="MscoInputCell352" hidden="1">#NAME?</definedName>
    <definedName name="MscoInputCell353" hidden="1">#NAME?</definedName>
    <definedName name="MscoInputCell354" hidden="1">#NAME?</definedName>
    <definedName name="MscoInputCell355" hidden="1">#NAME?</definedName>
    <definedName name="MscoInputCell356" hidden="1">#NAME?</definedName>
    <definedName name="MscoInputCell357" hidden="1">#NAME?</definedName>
    <definedName name="MscoInputCell358" hidden="1">#NAME?</definedName>
    <definedName name="MscoInputCell359" hidden="1">#NAME?</definedName>
    <definedName name="MscoInputCell360" hidden="1">#NAME?</definedName>
    <definedName name="MscoInputCell361" hidden="1">#NAME?</definedName>
    <definedName name="MscoInputCell362" hidden="1">#NAME?</definedName>
    <definedName name="MscoInputCell363" hidden="1">#NAME?</definedName>
    <definedName name="MscoInputCell364" hidden="1">#NAME?</definedName>
    <definedName name="MscoInputCell365" hidden="1">#NAME?</definedName>
    <definedName name="MscoInputCell366" hidden="1">#NAME?</definedName>
    <definedName name="MscoInputCell367" hidden="1">#NAME?</definedName>
    <definedName name="MscoInputCell368" hidden="1">#NAME?</definedName>
    <definedName name="MscoInputCell369" hidden="1">#NAME?</definedName>
    <definedName name="MscoInputCell370" hidden="1">#NAME?</definedName>
    <definedName name="MscoInputCell371" hidden="1">#NAME?</definedName>
    <definedName name="MscoInputCell372" hidden="1">#NAME?</definedName>
    <definedName name="MscoInputCell373" hidden="1">#NAME?</definedName>
    <definedName name="MscoInputCell374" hidden="1">#NAME?</definedName>
    <definedName name="MscoInputCell375" hidden="1">#NAME?</definedName>
    <definedName name="MscoInputCell376" hidden="1">#NAME?</definedName>
    <definedName name="MscoInputCell377" hidden="1">#NAME?</definedName>
    <definedName name="MscoInputCell378" hidden="1">#NAME?</definedName>
    <definedName name="MscoInputCell379" hidden="1">#NAME?</definedName>
    <definedName name="MscoInputCell380" hidden="1">#NAME?</definedName>
    <definedName name="MscoInputCell381" hidden="1">#NAME?</definedName>
    <definedName name="MscoInputCell382" hidden="1">#NAME?</definedName>
    <definedName name="MscoInputCell383" hidden="1">#NAME?</definedName>
    <definedName name="MscoInputCell384" hidden="1">#NAME?</definedName>
    <definedName name="MscoInputCell385" hidden="1">#NAME?</definedName>
    <definedName name="MscoInputCell386" hidden="1">#NAME?</definedName>
    <definedName name="MscoInputCell387" hidden="1">#NAME?</definedName>
    <definedName name="MscoInputCell388" hidden="1">#NAME?</definedName>
    <definedName name="MscoInputCell389" hidden="1">#NAME?</definedName>
    <definedName name="MscoInputCell390" hidden="1">#NAME?</definedName>
    <definedName name="MscoInputCell391" hidden="1">#NAME?</definedName>
    <definedName name="MscoInputCell392" hidden="1">#NAME?</definedName>
    <definedName name="MscoInputCell393" hidden="1">#NAME?</definedName>
    <definedName name="MscoInputCell394" hidden="1">#NAME?</definedName>
    <definedName name="MscoInputCell395" hidden="1">#NAME?</definedName>
    <definedName name="MscoInputCell396" hidden="1">#NAME?</definedName>
    <definedName name="MscoInputCell397" hidden="1">#NAME?</definedName>
    <definedName name="MscoInputCell398" hidden="1">#NAME?</definedName>
    <definedName name="MscoInputCell399" hidden="1">#NAME?</definedName>
    <definedName name="MscoInputCell400" hidden="1">#NAME?</definedName>
    <definedName name="MscoInputCell401" hidden="1">#NAME?</definedName>
    <definedName name="MscoInputCell402" hidden="1">#NAME?</definedName>
    <definedName name="MscoInputCell403" hidden="1">#NAME?</definedName>
    <definedName name="MscoInputCell404" hidden="1">#NAME?</definedName>
    <definedName name="MscoInputCell405" hidden="1">#NAME?</definedName>
    <definedName name="MscoInputCell406" hidden="1">#NAME?</definedName>
    <definedName name="MscoInputCell407" hidden="1">#NAME?</definedName>
    <definedName name="MscoInputCell408" hidden="1">#NAME?</definedName>
    <definedName name="MscoInputCell409" hidden="1">#NAME?</definedName>
    <definedName name="MscoInputCell410" hidden="1">#NAME?</definedName>
    <definedName name="MscoInputCell411" hidden="1">#NAME?</definedName>
    <definedName name="MscoInputCell412" hidden="1">#NAME?</definedName>
    <definedName name="MscoInputCell413" hidden="1">#NAME?</definedName>
    <definedName name="MscoInputCell414" hidden="1">#NAME?</definedName>
    <definedName name="MscoInputCell415" hidden="1">#NAME?</definedName>
    <definedName name="MscoInputCell416" hidden="1">#NAME?</definedName>
    <definedName name="MscoInputCell417" hidden="1">#NAME?</definedName>
    <definedName name="MscoInputCell418" hidden="1">#NAME?</definedName>
    <definedName name="MscoInputCell419" hidden="1">#NAME?</definedName>
    <definedName name="MscoInputCell420" hidden="1">#NAME?</definedName>
    <definedName name="MscoInputCell421" hidden="1">#NAME?</definedName>
    <definedName name="MscoInputCell422" hidden="1">#NAME?</definedName>
    <definedName name="MscoInputCell423" hidden="1">#NAME?</definedName>
    <definedName name="MscoInputCell424" hidden="1">#NAME?</definedName>
    <definedName name="MscoInputCell425" hidden="1">#NAME?</definedName>
    <definedName name="MscoInputCell426" hidden="1">#NAME?</definedName>
    <definedName name="MscoInputCell427" hidden="1">#NAME?</definedName>
    <definedName name="MscoInputCell428" hidden="1">#NAME?</definedName>
    <definedName name="MscoInputCell429" hidden="1">#NAME?</definedName>
    <definedName name="MscoInputCell430" hidden="1">#NAME?</definedName>
    <definedName name="MscoInputCell431" hidden="1">#NAME?</definedName>
    <definedName name="MscoInputCell432" hidden="1">#NAME?</definedName>
    <definedName name="MscoInputCell433" hidden="1">#NAME?</definedName>
    <definedName name="MscoInputCell434" hidden="1">#NAME?</definedName>
    <definedName name="MscoInputCell435" hidden="1">#NAME?</definedName>
    <definedName name="MscoInputCell436" hidden="1">#NAME?</definedName>
    <definedName name="MscoInputCell437" hidden="1">#NAME?</definedName>
    <definedName name="MscoInputCell438" hidden="1">#NAME?</definedName>
    <definedName name="MscoInputCell439" hidden="1">#NAME?</definedName>
    <definedName name="MscoInputCell440" hidden="1">#NAME?</definedName>
    <definedName name="MscoInputCell441" hidden="1">#NAME?</definedName>
    <definedName name="MscoInputCell443" hidden="1">#NAME?</definedName>
    <definedName name="MscoInputCell444" hidden="1">#NAME?</definedName>
    <definedName name="MscoInputCell445" hidden="1">#NAME?</definedName>
    <definedName name="MscoInputCell446" hidden="1">#NAME?</definedName>
    <definedName name="MscoInputCell447" hidden="1">#NAME?</definedName>
    <definedName name="MscoInputCell448" hidden="1">#NAME?</definedName>
    <definedName name="MscoInputCell449" hidden="1">#NAME?</definedName>
    <definedName name="MscoInputCell450" hidden="1">#NAME?</definedName>
    <definedName name="MscoInputCell451" hidden="1">#NAME?</definedName>
    <definedName name="MscoInputCell452" hidden="1">#NAME?</definedName>
    <definedName name="MscoInputCell453" hidden="1">#NAME?</definedName>
    <definedName name="MscoInputCell454" hidden="1">#NAME?</definedName>
    <definedName name="MscoInputCell455" hidden="1">#NAME?</definedName>
    <definedName name="MscoInputCell456" hidden="1">#NAME?</definedName>
    <definedName name="MscoInputCell457" hidden="1">#NAME?</definedName>
    <definedName name="MscoInputCell458" hidden="1">#NAME?</definedName>
    <definedName name="MscoInputCell459" hidden="1">#NAME?</definedName>
    <definedName name="MscoInputCell460" hidden="1">#NAME?</definedName>
    <definedName name="MscoInputCell461" hidden="1">#NAME?</definedName>
    <definedName name="MscoInputCell462" hidden="1">#NAME?</definedName>
    <definedName name="MscoInputCell463" hidden="1">#NAME?</definedName>
    <definedName name="MscoInputCell464" hidden="1">#NAME?</definedName>
    <definedName name="MscoInputCell465" hidden="1">#NAME?</definedName>
    <definedName name="MscoInputCell466" hidden="1">#NAME?</definedName>
    <definedName name="MscoInputCell467" hidden="1">#NAME?</definedName>
    <definedName name="MscoInputCell468" hidden="1">#NAME?</definedName>
    <definedName name="MscoInputCell469" hidden="1">#NAME?</definedName>
    <definedName name="MscoInputCell470" hidden="1">#NAME?</definedName>
    <definedName name="MscoInputCell471" hidden="1">#NAME?</definedName>
    <definedName name="MscoInputCell472" hidden="1">#NAME?</definedName>
    <definedName name="MscoInputCell473" hidden="1">#NAME?</definedName>
    <definedName name="MscoInputCell474" hidden="1">#NAME?</definedName>
    <definedName name="MscoInputCell475" hidden="1">#NAME?</definedName>
    <definedName name="MscoInputCell476" hidden="1">#NAME?</definedName>
    <definedName name="MscoInputCell477" hidden="1">#NAME?</definedName>
    <definedName name="MscoInputCell478" hidden="1">#NAME?</definedName>
    <definedName name="MscoInputCell479" hidden="1">#NAME?</definedName>
    <definedName name="MscoInputCell480" hidden="1">#NAME?</definedName>
    <definedName name="MscoInputCell481" hidden="1">#NAME?</definedName>
    <definedName name="MscoInputCell482" hidden="1">#NAME?</definedName>
    <definedName name="MscoInputCell483" hidden="1">#NAME?</definedName>
    <definedName name="MscoInputCell484" hidden="1">#NAME?</definedName>
    <definedName name="MscoInputCell485" hidden="1">#NAME?</definedName>
    <definedName name="MscoInputCell486" hidden="1">#NAME?</definedName>
    <definedName name="MscoInputCell487" hidden="1">#NAME?</definedName>
    <definedName name="MscoInputCell488" hidden="1">#NAME?</definedName>
    <definedName name="MscoInputCell489" hidden="1">#NAME?</definedName>
    <definedName name="MscoInputCell490" hidden="1">#NAME?</definedName>
    <definedName name="MscoInputCell491" hidden="1">#NAME?</definedName>
    <definedName name="MscoInputCell492" hidden="1">#NAME?</definedName>
    <definedName name="MscoInputCell493" hidden="1">#NAME?</definedName>
    <definedName name="MscoInputCell494" hidden="1">#NAME?</definedName>
    <definedName name="MscoInputCell495" hidden="1">#NAME?</definedName>
    <definedName name="MscoInputCell496" hidden="1">#NAME?</definedName>
    <definedName name="MscoInputCell497" hidden="1">#NAME?</definedName>
    <definedName name="MscoInputCell498" hidden="1">#NAME?</definedName>
    <definedName name="MscoInputCell499" hidden="1">#NAME?</definedName>
    <definedName name="MscoInputCell500" hidden="1">#NAME?</definedName>
    <definedName name="MscoInputCell501" hidden="1">#NAME?</definedName>
    <definedName name="MscoInputCell502" hidden="1">#NAME?</definedName>
    <definedName name="MscoInputCell503" hidden="1">#NAME?</definedName>
    <definedName name="MscoInputCell504" hidden="1">#NAME?</definedName>
    <definedName name="MscoInputCell505" hidden="1">#NAME?</definedName>
    <definedName name="MscoInputCell506" hidden="1">#NAME?</definedName>
    <definedName name="MscoInputCell507" hidden="1">#NAME?</definedName>
    <definedName name="MscoInputCell508" hidden="1">#NAME?</definedName>
    <definedName name="MscoInputCell509" hidden="1">#NAME?</definedName>
    <definedName name="MscoInputCell510" hidden="1">#NAME?</definedName>
    <definedName name="MscoInputCell511" hidden="1">#NAME?</definedName>
    <definedName name="MscoInputCell512" hidden="1">#NAME?</definedName>
    <definedName name="MscoInputCell513" hidden="1">#NAME?</definedName>
    <definedName name="MscoInputCell514" hidden="1">#NAME?</definedName>
    <definedName name="MscoInputCell515" hidden="1">#NAME?</definedName>
    <definedName name="MscoInputCell516" hidden="1">#NAME?</definedName>
    <definedName name="MscoInputCell517" hidden="1">#NAME?</definedName>
    <definedName name="MscoInputCell518" hidden="1">#NAME?</definedName>
    <definedName name="MscoInputCell519" hidden="1">#NAME?</definedName>
    <definedName name="MscoInputCell520" hidden="1">#NAME?</definedName>
    <definedName name="MscoInputCell521" hidden="1">#NAME?</definedName>
    <definedName name="MscoInputCell522" hidden="1">#NAME?</definedName>
    <definedName name="MscoInputCell523" hidden="1">#NAME?</definedName>
    <definedName name="MscoInputCell524" hidden="1">#NAME?</definedName>
    <definedName name="MscoInputCell525" hidden="1">#NAME?</definedName>
    <definedName name="MscoInputCell526" hidden="1">#NAME?</definedName>
    <definedName name="MscoInputCell527" hidden="1">#NAME?</definedName>
    <definedName name="MscoInputCell528" hidden="1">#NAME?</definedName>
    <definedName name="MscoInputCell529" hidden="1">#NAME?</definedName>
    <definedName name="MscoInputCell530" hidden="1">#NAME?</definedName>
    <definedName name="MscoInputCell531" hidden="1">#NAME?</definedName>
    <definedName name="MscoInputCell532" hidden="1">#NAME?</definedName>
    <definedName name="MscoInputCell533" hidden="1">#NAME?</definedName>
    <definedName name="MscoInputCell534" hidden="1">#NAME?</definedName>
    <definedName name="MscoInputCell535" hidden="1">#NAME?</definedName>
    <definedName name="MscoInputCell536" hidden="1">#NAME?</definedName>
    <definedName name="MscoInputCell537" hidden="1">#NAME?</definedName>
    <definedName name="MscoInputCell538" hidden="1">#NAME?</definedName>
    <definedName name="MscoInputCell539" hidden="1">#NAME?</definedName>
    <definedName name="MscoInputCell540" hidden="1">#NAME?</definedName>
    <definedName name="MscoInputCell541" hidden="1">#NAME?</definedName>
    <definedName name="MscoInputCell542" hidden="1">#NAME?</definedName>
    <definedName name="MscoInputCell543" hidden="1">#NAME?</definedName>
    <definedName name="MscoInputCell544" hidden="1">#NAME?</definedName>
    <definedName name="MscoInputCell545" hidden="1">#NAME?</definedName>
    <definedName name="MscoInputCell546" hidden="1">#NAME?</definedName>
    <definedName name="MscoInputCell547" hidden="1">#NAME?</definedName>
    <definedName name="MscoInputCell548" hidden="1">#NAME?</definedName>
    <definedName name="MscoInputCell549" hidden="1">#NAME?</definedName>
    <definedName name="MscoInputCell550" hidden="1">#NAME?</definedName>
    <definedName name="MscoInputCell551" hidden="1">#NAME?</definedName>
    <definedName name="MscoInputCell552" hidden="1">#NAME?</definedName>
    <definedName name="MscoInputCell553" hidden="1">#NAME?</definedName>
    <definedName name="MscoInputCell554" hidden="1">#NAME?</definedName>
    <definedName name="MscoInputCell555" hidden="1">#NAME?</definedName>
    <definedName name="MscoInputCell556" hidden="1">#NAME?</definedName>
    <definedName name="MscoInputCell557" hidden="1">#NAME?</definedName>
    <definedName name="MscoInputCell558" hidden="1">#NAME?</definedName>
    <definedName name="MscoInputCell559" hidden="1">#NAME?</definedName>
    <definedName name="MscoInputCell560" hidden="1">#NAME?</definedName>
    <definedName name="MscoInputCell561" hidden="1">#NAME?</definedName>
    <definedName name="MscoInputCell562" hidden="1">#NAME?</definedName>
    <definedName name="MscoInputCell563" hidden="1">#NAME?</definedName>
    <definedName name="MscoInputCell564" hidden="1">#NAME?</definedName>
    <definedName name="MscoInputCell565" hidden="1">#NAME?</definedName>
    <definedName name="MscoInputCell566" hidden="1">#NAME?</definedName>
    <definedName name="MscoInputCell567" hidden="1">#NAME?</definedName>
    <definedName name="MscoInputCell568" hidden="1">#NAME?</definedName>
    <definedName name="MscoInputCell569" hidden="1">#NAME?</definedName>
    <definedName name="MscoInputCell570" hidden="1">#NAME?</definedName>
    <definedName name="MscoInputCell571" hidden="1">#NAME?</definedName>
    <definedName name="MscoInputCell572" hidden="1">#NAME?</definedName>
    <definedName name="MscoInputCell573" hidden="1">#NAME?</definedName>
    <definedName name="MscoInputCell574" hidden="1">#NAME?</definedName>
    <definedName name="MscoInputCell575" hidden="1">#NAME?</definedName>
    <definedName name="MscoInputCell576" hidden="1">#NAME?</definedName>
    <definedName name="MscoInputCell577" hidden="1">#NAME?</definedName>
    <definedName name="MscoInputCell578" hidden="1">#NAME?</definedName>
    <definedName name="MscoInputCell579" hidden="1">#NAME?</definedName>
    <definedName name="MscoInputCell580" hidden="1">#NAME?</definedName>
    <definedName name="MscoInputCell581" hidden="1">#NAME?</definedName>
    <definedName name="MscoInputCell582" hidden="1">#NAME?</definedName>
    <definedName name="MscoInputCell583" hidden="1">#NAME?</definedName>
    <definedName name="MscoInputCell584" hidden="1">#NAME?</definedName>
    <definedName name="MscoInputCell585" hidden="1">#NAME?</definedName>
    <definedName name="MscoInputCell586" hidden="1">#NAME?</definedName>
    <definedName name="MscoInputCell587" hidden="1">#NAME?</definedName>
    <definedName name="MscoInputCell588" hidden="1">#NAME?</definedName>
    <definedName name="MscoInputCell589" hidden="1">#NAME?</definedName>
    <definedName name="MscoInputCell590" hidden="1">#NAME?</definedName>
    <definedName name="MscoInputCell591" hidden="1">#NAME?</definedName>
    <definedName name="MscoInputCell592" hidden="1">#NAME?</definedName>
    <definedName name="MscoInputCell593" hidden="1">#NAME?</definedName>
    <definedName name="MscoInputCell594" hidden="1">#NAME?</definedName>
    <definedName name="MscoInputCell595" hidden="1">#NAME?</definedName>
    <definedName name="MscoInputCell596" hidden="1">#NAME?</definedName>
    <definedName name="MscoInputCell597" hidden="1">#NAME?</definedName>
    <definedName name="MscoInputCell598" hidden="1">#NAME?</definedName>
    <definedName name="MscoInputCell599" hidden="1">#NAME?</definedName>
    <definedName name="MscoInputCell600" hidden="1">#NAME?</definedName>
    <definedName name="MscoInputCell601" hidden="1">#NAME?</definedName>
    <definedName name="MscoInputCell602" hidden="1">#NAME?</definedName>
    <definedName name="MscoInputCell603" hidden="1">#NAME?</definedName>
    <definedName name="MscoInputCell604" hidden="1">#NAME?</definedName>
    <definedName name="MscoInputCell605" hidden="1">#NAME?</definedName>
    <definedName name="MscoInputCell606" hidden="1">#NAME?</definedName>
    <definedName name="MscoInputCell607" hidden="1">#NAME?</definedName>
    <definedName name="MscoInputCell608" hidden="1">#NAME?</definedName>
    <definedName name="MscoInputCell609" hidden="1">#NAME?</definedName>
    <definedName name="MscoInputCell610" hidden="1">#NAME?</definedName>
    <definedName name="MscoInputCell611" hidden="1">#NAME?</definedName>
    <definedName name="MscoInputCell612" hidden="1">#NAME?</definedName>
    <definedName name="MscoInputCell613" hidden="1">#NAME?</definedName>
    <definedName name="MscoInputCell614" hidden="1">#NAME?</definedName>
    <definedName name="MscoInputCell615" hidden="1">#NAME?</definedName>
    <definedName name="MscoInputCell616" hidden="1">#NAME?</definedName>
    <definedName name="MscoInputCell617" hidden="1">#NAME?</definedName>
    <definedName name="MscoInputCell618" hidden="1">#NAME?</definedName>
    <definedName name="MscoInputCell619" hidden="1">#NAME?</definedName>
    <definedName name="MscoInputCell620" hidden="1">#NAME?</definedName>
    <definedName name="MscoInputCell621" hidden="1">#NAME?</definedName>
    <definedName name="MscoInputCell622" hidden="1">#NAME?</definedName>
    <definedName name="MscoInputCell623" hidden="1">#NAME?</definedName>
    <definedName name="MscoInputCell624" hidden="1">#NAME?</definedName>
    <definedName name="MscoInputCell625" hidden="1">#NAME?</definedName>
    <definedName name="MscoInputCell626" hidden="1">#NAME?</definedName>
    <definedName name="MscoInputCell627" hidden="1">#NAME?</definedName>
    <definedName name="MscoInputCell628" hidden="1">#NAME?</definedName>
    <definedName name="MscoInputCell629" hidden="1">#NAME?</definedName>
    <definedName name="MscoInputCell630" hidden="1">#NAME?</definedName>
    <definedName name="MscoInputCell631" hidden="1">#NAME?</definedName>
    <definedName name="MscoInputCell632" hidden="1">#NAME?</definedName>
    <definedName name="MscoInputCell633" hidden="1">#NAME?</definedName>
    <definedName name="MscoInputCell634" hidden="1">#NAME?</definedName>
    <definedName name="MscoInputCell635" hidden="1">#NAME?</definedName>
    <definedName name="MscoInputCell636" hidden="1">#NAME?</definedName>
    <definedName name="MscoInputCell637" hidden="1">#NAME?</definedName>
    <definedName name="MscoInputCell638" hidden="1">#NAME?</definedName>
    <definedName name="MscoInputCell639" hidden="1">#NAME?</definedName>
    <definedName name="MscoInputCell640" hidden="1">#NAME?</definedName>
    <definedName name="MscoInputCell641" hidden="1">#NAME?</definedName>
    <definedName name="MscoInputCell642" hidden="1">#NAME?</definedName>
    <definedName name="MscoInputCell643" hidden="1">#NAME?</definedName>
    <definedName name="MscoInputCell644" hidden="1">#NAME?</definedName>
    <definedName name="MscoInputCell645" hidden="1">#NAME?</definedName>
    <definedName name="MscoInputCell646" hidden="1">#NAME?</definedName>
    <definedName name="MscoInputCell647" hidden="1">#NAME?</definedName>
    <definedName name="MscoInputCell648" hidden="1">#NAME?</definedName>
    <definedName name="MscoInputCell649" hidden="1">#NAME?</definedName>
    <definedName name="MscoInputCell650" hidden="1">#NAME?</definedName>
    <definedName name="MscoInputCell651" hidden="1">#NAME?</definedName>
    <definedName name="MscoInputCell652" hidden="1">#NAME?</definedName>
    <definedName name="MscoInputCell653" hidden="1">#NAME?</definedName>
    <definedName name="MscoInputCell654" hidden="1">#NAME?</definedName>
    <definedName name="MscoInputCell655" hidden="1">#NAME?</definedName>
    <definedName name="MscoInputCell656" hidden="1">#NAME?</definedName>
    <definedName name="MscoInputCell657" hidden="1">#NAME?</definedName>
    <definedName name="MscoInputCell658" hidden="1">#NAME?</definedName>
    <definedName name="MscoInputCell659" hidden="1">#NAME?</definedName>
    <definedName name="MscoInputCell660" hidden="1">#NAME?</definedName>
    <definedName name="MscoInputCell661" hidden="1">#NAME?</definedName>
    <definedName name="MscoInputCell662" hidden="1">#NAME?</definedName>
    <definedName name="MscoInputCell663" hidden="1">#NAME?</definedName>
    <definedName name="MscoInputCell664" hidden="1">#NAME?</definedName>
    <definedName name="MscoInputCell665" hidden="1">#NAME?</definedName>
    <definedName name="MscoInputCell666" hidden="1">#NAME?</definedName>
    <definedName name="MscoInputCell667" hidden="1">#NAME?</definedName>
    <definedName name="MscoInputCell668" hidden="1">#NAME?</definedName>
    <definedName name="MscoInputCell669" hidden="1">#NAME?</definedName>
    <definedName name="MscoInputCell670" hidden="1">#NAME?</definedName>
    <definedName name="MscoInputCell671" hidden="1">#NAME?</definedName>
    <definedName name="MscoInputCell672" hidden="1">#NAME?</definedName>
    <definedName name="MscoInputCell673" hidden="1">#NAME?</definedName>
    <definedName name="MscoInputCell674" hidden="1">#NAME?</definedName>
    <definedName name="MscoInputCell675" hidden="1">#NAME?</definedName>
    <definedName name="MscoInputCell676" hidden="1">#NAME?</definedName>
    <definedName name="MscoInputCell677" hidden="1">#NAME?</definedName>
    <definedName name="MscoInputCell678" hidden="1">#NAME?</definedName>
    <definedName name="MscoInputCell679" hidden="1">#NAME?</definedName>
    <definedName name="MscoInputCell680" hidden="1">#NAME?</definedName>
    <definedName name="MscoInputCell681" hidden="1">#NAME?</definedName>
    <definedName name="MscoInputCell682" hidden="1">#NAME?</definedName>
    <definedName name="MscoInputCell683" hidden="1">#NAME?</definedName>
    <definedName name="MscoInputCell684" hidden="1">#NAME?</definedName>
    <definedName name="MscoInputCell685" hidden="1">#NAME?</definedName>
    <definedName name="MscoInputCell686" hidden="1">#NAME?</definedName>
    <definedName name="MscoInputCell687" hidden="1">#NAME?</definedName>
    <definedName name="MscoInputCell688" hidden="1">#NAME?</definedName>
    <definedName name="MscoInputCell689" hidden="1">#NAME?</definedName>
    <definedName name="MscoInputCell690" hidden="1">#NAME?</definedName>
    <definedName name="MscoInputCell691" hidden="1">#NAME?</definedName>
    <definedName name="MscoInputCell692" hidden="1">#NAME?</definedName>
    <definedName name="MscoInputCell693" hidden="1">#NAME?</definedName>
    <definedName name="MscoInputCell694" hidden="1">#NAME?</definedName>
    <definedName name="MscoInputCell695" hidden="1">#NAME?</definedName>
    <definedName name="MscoInputCell696" hidden="1">#NAME?</definedName>
    <definedName name="MscoInputCell697" hidden="1">#NAME?</definedName>
    <definedName name="MscoInputCell698" hidden="1">#NAME?</definedName>
    <definedName name="MscoInputCell699" hidden="1">#NAME?</definedName>
    <definedName name="MscoInputCell700" hidden="1">#NAME?</definedName>
    <definedName name="MscoInputCell701" hidden="1">#NAME?</definedName>
    <definedName name="MscoInputCell702" hidden="1">#NAME?</definedName>
    <definedName name="MscoInputCell703" hidden="1">#NAME?</definedName>
    <definedName name="MscoInputCell704" hidden="1">#NAME?</definedName>
    <definedName name="MscoInputCell705" hidden="1">#NAME?</definedName>
    <definedName name="MscoInputCell706" hidden="1">#NAME?</definedName>
    <definedName name="MscoInputCell707" hidden="1">#NAME?</definedName>
    <definedName name="MscoInputCell708" hidden="1">#NAME?</definedName>
    <definedName name="MscoInputCell709" hidden="1">#NAME?</definedName>
    <definedName name="MscoInputCell710" hidden="1">#NAME?</definedName>
    <definedName name="MscoInputCell711" hidden="1">#NAME?</definedName>
    <definedName name="MscoInputCell712" hidden="1">#NAME?</definedName>
    <definedName name="MscoInputCell713" hidden="1">#NAME?</definedName>
    <definedName name="MscoInputCell714" hidden="1">#NAME?</definedName>
    <definedName name="MscoInputCell715" hidden="1">#NAME?</definedName>
    <definedName name="MscoInputCell716" hidden="1">#NAME?</definedName>
    <definedName name="MscoInputCell717" hidden="1">#NAME?</definedName>
    <definedName name="MscoInputCell718" hidden="1">#NAME?</definedName>
    <definedName name="MscoInputCell719" hidden="1">#NAME?</definedName>
    <definedName name="MscoInputCell720" hidden="1">#NAME?</definedName>
    <definedName name="MscoInputCell721" hidden="1">#NAME?</definedName>
    <definedName name="MscoInputCell722" hidden="1">#NAME?</definedName>
    <definedName name="MscoInputCell723" hidden="1">#NAME?</definedName>
    <definedName name="MscoInputCell724" hidden="1">#NAME?</definedName>
    <definedName name="MscoInputCell725" hidden="1">#NAME?</definedName>
    <definedName name="MscoInputCell726" hidden="1">#NAME?</definedName>
    <definedName name="MscoInputCell727" hidden="1">#NAME?</definedName>
    <definedName name="MscoInputCell728" hidden="1">#NAME?</definedName>
    <definedName name="MscoInputCell729" hidden="1">#NAME?</definedName>
    <definedName name="MscoInputCell730" hidden="1">#NAME?</definedName>
    <definedName name="MscoInputCell731" hidden="1">#NAME?</definedName>
    <definedName name="MscoInputCell732" hidden="1">#NAME?</definedName>
    <definedName name="MscoInputCell733" hidden="1">#NAME?</definedName>
    <definedName name="MscoInputCell734" hidden="1">#NAME?</definedName>
    <definedName name="MscoInputCell735" hidden="1">#NAME?</definedName>
    <definedName name="MscoInputCell736" hidden="1">#NAME?</definedName>
    <definedName name="MscoInputCell737" hidden="1">#NAME?</definedName>
    <definedName name="MscoInputCell738" hidden="1">#NAME?</definedName>
    <definedName name="MscoInputCell739" hidden="1">#NAME?</definedName>
    <definedName name="MscoInputCell740" hidden="1">#NAME?</definedName>
    <definedName name="MscoInputCell741" hidden="1">#NAME?</definedName>
    <definedName name="MscoInputCell742" hidden="1">#NAME?</definedName>
    <definedName name="MscoInputCell743" hidden="1">#NAME?</definedName>
    <definedName name="MscoInputCell744" hidden="1">#NAME?</definedName>
    <definedName name="MscoInputCell745" hidden="1">#NAME?</definedName>
    <definedName name="MscoInputCell746" hidden="1">#NAME?</definedName>
    <definedName name="MscoInputCell747" hidden="1">#NAME?</definedName>
    <definedName name="MscoInputCell748" hidden="1">#NAME?</definedName>
    <definedName name="MscoInputCell749" hidden="1">#NAME?</definedName>
    <definedName name="MscoInputCell750" hidden="1">#NAME?</definedName>
    <definedName name="MscoInputCell751" hidden="1">#NAME?</definedName>
    <definedName name="MscoInputCell752" hidden="1">#NAME?</definedName>
    <definedName name="MscoInputCell753" hidden="1">#NAME?</definedName>
    <definedName name="MscoInputCell754" hidden="1">#NAME?</definedName>
    <definedName name="MscoInputCell755" hidden="1">#NAME?</definedName>
    <definedName name="MscoInputCell756" hidden="1">#NAME?</definedName>
    <definedName name="MscoInputCell757" hidden="1">#NAME?</definedName>
    <definedName name="MscoInputCell758" hidden="1">#NAME?</definedName>
    <definedName name="MscoInputCell759" hidden="1">#NAME?</definedName>
    <definedName name="MscoInputCell760" hidden="1">#NAME?</definedName>
    <definedName name="MscoInputCell761" hidden="1">#NAME?</definedName>
    <definedName name="MscoInputCell762" hidden="1">#NAME?</definedName>
    <definedName name="MscoInputCell763" hidden="1">#NAME?</definedName>
    <definedName name="MscoInputCell764" hidden="1">#NAME?</definedName>
    <definedName name="MscoInputCell765" hidden="1">#NAME?</definedName>
    <definedName name="MscoInputCell766" hidden="1">#NAME?</definedName>
    <definedName name="MscoInputCell767" hidden="1">#NAME?</definedName>
    <definedName name="MscoInputCell768" hidden="1">#NAME?</definedName>
    <definedName name="MscoInputCell769" hidden="1">#NAME?</definedName>
    <definedName name="MscoInputCell770" hidden="1">#NAME?</definedName>
    <definedName name="MscoInputCell771" hidden="1">#NAME?</definedName>
    <definedName name="MscoInputCell772" hidden="1">#NAME?</definedName>
    <definedName name="MscoInputCell773" hidden="1">#NAME?</definedName>
    <definedName name="MscoInputCell774" hidden="1">#NAME?</definedName>
    <definedName name="MscoInputCell775" hidden="1">#NAME?</definedName>
    <definedName name="MscoInputCell776" hidden="1">#NAME?</definedName>
    <definedName name="MscoInputCell777" hidden="1">#NAME?</definedName>
    <definedName name="MscoInputCell778" hidden="1">#NAME?</definedName>
    <definedName name="MscoInputCell779" hidden="1">#NAME?</definedName>
    <definedName name="MscoInputCell780" hidden="1">#NAME?</definedName>
    <definedName name="MscoInputCell781" hidden="1">#NAME?</definedName>
    <definedName name="MscoInputCell782" hidden="1">#NAME?</definedName>
    <definedName name="MscoInputCell783" hidden="1">#NAME?</definedName>
    <definedName name="MscoInputCell784" hidden="1">#NAME?</definedName>
    <definedName name="MscoInputCell785" hidden="1">#NAME?</definedName>
    <definedName name="MscoInputCell786" hidden="1">#NAME?</definedName>
    <definedName name="MscoInputCell787" hidden="1">#NAME?</definedName>
    <definedName name="MscoInputCell788" hidden="1">#NAME?</definedName>
    <definedName name="MscoInputCell789" hidden="1">#NAME?</definedName>
    <definedName name="MscoInputCell790" hidden="1">#NAME?</definedName>
    <definedName name="MscoInputCell791" hidden="1">#NAME?</definedName>
    <definedName name="MscoInputCell792" hidden="1">#NAME?</definedName>
    <definedName name="MscoInputCell793" hidden="1">#NAME?</definedName>
    <definedName name="MscoInputCell794" hidden="1">#NAME?</definedName>
    <definedName name="MscoInputCell795" hidden="1">#NAME?</definedName>
    <definedName name="MscoInputCell796" hidden="1">#NAME?</definedName>
    <definedName name="MscoInputCell797" hidden="1">#NAME?</definedName>
    <definedName name="MscoInputCell798" hidden="1">#NAME?</definedName>
    <definedName name="MscoInputCell799" hidden="1">#NAME?</definedName>
    <definedName name="MscoInputCell80" hidden="1">#NAME?</definedName>
    <definedName name="MscoInputCell800" hidden="1">#NAME?</definedName>
    <definedName name="MscoInputCell801" hidden="1">#NAME?</definedName>
    <definedName name="MscoInputCell802" hidden="1">#NAME?</definedName>
    <definedName name="MscoInputCell803" hidden="1">#NAME?</definedName>
    <definedName name="MscoInputCell804" hidden="1">#NAME?</definedName>
    <definedName name="MscoInputCell805" hidden="1">#NAME?</definedName>
    <definedName name="MscoInputCell806" hidden="1">#NAME?</definedName>
    <definedName name="MscoInputCell807" hidden="1">#NAME?</definedName>
    <definedName name="MscoInputCell808" hidden="1">#NAME?</definedName>
    <definedName name="MscoInputCell809" hidden="1">#NAME?</definedName>
    <definedName name="MscoInputCell81" hidden="1">#NAME?</definedName>
    <definedName name="MscoInputCell810" hidden="1">#NAME?</definedName>
    <definedName name="MscoInputCell811" hidden="1">#NAME?</definedName>
    <definedName name="MscoInputCell812" hidden="1">#NAME?</definedName>
    <definedName name="MscoInputCell813" hidden="1">#NAME?</definedName>
    <definedName name="MscoInputCell814" hidden="1">#NAME?</definedName>
    <definedName name="MscoInputCell815" hidden="1">#NAME?</definedName>
    <definedName name="MscoInputCell816" hidden="1">#NAME?</definedName>
    <definedName name="MscoInputCell817" hidden="1">#NAME?</definedName>
    <definedName name="MscoInputCell818" hidden="1">#NAME?</definedName>
    <definedName name="MscoInputCell819" hidden="1">#NAME?</definedName>
    <definedName name="MscoInputCell820" hidden="1">#NAME?</definedName>
    <definedName name="MscoInputCell821" hidden="1">#NAME?</definedName>
    <definedName name="MscoInputCell822" hidden="1">#NAME?</definedName>
    <definedName name="MscoInputCell823" hidden="1">#NAME?</definedName>
    <definedName name="MscoInputCell824" hidden="1">#NAME?</definedName>
    <definedName name="MscoInputCell825" hidden="1">#NAME?</definedName>
    <definedName name="MscoInputCell826" hidden="1">#NAME?</definedName>
    <definedName name="MscoInputCell827" hidden="1">#NAME?</definedName>
    <definedName name="MscoInputCell828" hidden="1">#NAME?</definedName>
    <definedName name="MscoInputCell829" hidden="1">#NAME?</definedName>
    <definedName name="MscoInputCell830" hidden="1">#NAME?</definedName>
    <definedName name="MscoInputCell831" hidden="1">#NAME?</definedName>
    <definedName name="MscoInputCell832" hidden="1">#NAME?</definedName>
    <definedName name="MscoInputCell833" hidden="1">#NAME?</definedName>
    <definedName name="MscoInputCell834" hidden="1">#NAME?</definedName>
    <definedName name="MscoInputCell835" hidden="1">#NAME?</definedName>
    <definedName name="MscoInputCell836" hidden="1">#NAME?</definedName>
    <definedName name="MscoInputCell837" hidden="1">#NAME?</definedName>
    <definedName name="MscoInputCell838" hidden="1">#NAME?</definedName>
    <definedName name="MscoInputCell839" hidden="1">#NAME?</definedName>
    <definedName name="MscoInputCell840" hidden="1">#NAME?</definedName>
    <definedName name="MscoInputCell841" hidden="1">#NAME?</definedName>
    <definedName name="MscoInputCell842" hidden="1">#NAME?</definedName>
    <definedName name="MscoInputCell843" hidden="1">#NAME?</definedName>
    <definedName name="MscoInputCell844" hidden="1">#NAME?</definedName>
    <definedName name="MscoInputCell845" hidden="1">#NAME?</definedName>
    <definedName name="MscoInputCell846" hidden="1">#NAME?</definedName>
    <definedName name="MscoInputCell847" hidden="1">#NAME?</definedName>
    <definedName name="MscoInputCell848" hidden="1">#NAME?</definedName>
    <definedName name="MscoInputCell849" hidden="1">#NAME?</definedName>
    <definedName name="MscoInputCell850" hidden="1">#NAME?</definedName>
    <definedName name="MscoInputCell851" hidden="1">#NAME?</definedName>
    <definedName name="MscoInputCell852" hidden="1">#NAME?</definedName>
    <definedName name="MscoInputCell853" hidden="1">#NAME?</definedName>
    <definedName name="MscoInputCell854" hidden="1">#NAME?</definedName>
    <definedName name="MscoInputCell855" hidden="1">#NAME?</definedName>
    <definedName name="MscoInputCell856" hidden="1">#NAME?</definedName>
    <definedName name="MscoInputCell857" hidden="1">#NAME?</definedName>
    <definedName name="MscoInputCell858" hidden="1">#NAME?</definedName>
    <definedName name="MscoInputCell859" hidden="1">#NAME?</definedName>
    <definedName name="MscoInputCell860" hidden="1">#NAME?</definedName>
    <definedName name="MscoInputCell861" hidden="1">#NAME?</definedName>
    <definedName name="MscoInputCell862" hidden="1">#NAME?</definedName>
    <definedName name="MscoInputCell863" hidden="1">#NAME?</definedName>
    <definedName name="MscoInputCell864" hidden="1">#NAME?</definedName>
    <definedName name="MscoInputCell865" hidden="1">#NAME?</definedName>
    <definedName name="MscoInputCell866" hidden="1">#NAME?</definedName>
    <definedName name="MscoInputCell867" hidden="1">#NAME?</definedName>
    <definedName name="MscoInputCell868" hidden="1">#NAME?</definedName>
    <definedName name="MscoInputCell869" hidden="1">#NAME?</definedName>
    <definedName name="MscoInputCell870" hidden="1">#NAME?</definedName>
    <definedName name="MscoInputCell871" hidden="1">#NAME?</definedName>
    <definedName name="MscoInputCell872" hidden="1">#NAME?</definedName>
    <definedName name="MscoInputCell873" hidden="1">#NAME?</definedName>
    <definedName name="MscoInputCell874" hidden="1">#NAME?</definedName>
    <definedName name="MscoInputCell875" hidden="1">#NAME?</definedName>
    <definedName name="MscoInputCell876" hidden="1">#NAME?</definedName>
    <definedName name="MscoInputCell877" hidden="1">#NAME?</definedName>
    <definedName name="MscoInputCell878" hidden="1">#NAME?</definedName>
    <definedName name="MscoInputCell879" hidden="1">#NAME?</definedName>
    <definedName name="MscoInputCell880" hidden="1">#NAME?</definedName>
    <definedName name="MscoInputCell881" hidden="1">#NAME?</definedName>
    <definedName name="MscoInputCell882" hidden="1">#NAME?</definedName>
    <definedName name="MscoInputCell883" hidden="1">#NAME?</definedName>
    <definedName name="MscoInputCell884" hidden="1">#NAME?</definedName>
    <definedName name="MscoInputCell885" hidden="1">#NAME?</definedName>
    <definedName name="MscoInputCell886" hidden="1">#NAME?</definedName>
    <definedName name="MscoInputCell887" hidden="1">#NAME?</definedName>
    <definedName name="MscoInputCell888" hidden="1">#NAME?</definedName>
    <definedName name="MscoInputCell889" hidden="1">#NAME?</definedName>
    <definedName name="MscoInputCell890" hidden="1">#NAME?</definedName>
    <definedName name="MscoInputCell891" hidden="1">#NAME?</definedName>
    <definedName name="MscoInputCell892" hidden="1">#NAME?</definedName>
    <definedName name="MscoInputCell893" hidden="1">#NAME?</definedName>
    <definedName name="MscoInputCell894" hidden="1">#NAME?</definedName>
    <definedName name="MscoInputCell895" hidden="1">#NAME?</definedName>
    <definedName name="MscoInputCell896" hidden="1">#NAME?</definedName>
    <definedName name="MscoInputCell897" hidden="1">#NAME?</definedName>
    <definedName name="MscoInputCell898" hidden="1">#NAME?</definedName>
    <definedName name="MscoInputCell899" hidden="1">#NAME?</definedName>
    <definedName name="MscoInputCell90" hidden="1">#NAME?</definedName>
    <definedName name="MscoInputCell900" hidden="1">#NAME?</definedName>
    <definedName name="MscoInputCell901" hidden="1">#NAME?</definedName>
    <definedName name="MscoInputCell902" hidden="1">#NAME?</definedName>
    <definedName name="MscoInputCell903" hidden="1">#NAME?</definedName>
    <definedName name="MscoInputCell904" hidden="1">#NAME?</definedName>
    <definedName name="MscoInputCell905" hidden="1">#NAME?</definedName>
    <definedName name="MscoInputCell906" hidden="1">#NAME?</definedName>
    <definedName name="MscoInputCell907" hidden="1">#NAME?</definedName>
    <definedName name="MscoInputCell908" hidden="1">#NAME?</definedName>
    <definedName name="MscoInputCell909" hidden="1">#NAME?</definedName>
    <definedName name="MscoInputCell910" hidden="1">#NAME?</definedName>
    <definedName name="MscoInputCell911" hidden="1">#NAME?</definedName>
    <definedName name="MscoInputCell912" hidden="1">#NAME?</definedName>
    <definedName name="MscoInputCell913" hidden="1">#NAME?</definedName>
    <definedName name="MscoInputCell914" hidden="1">#NAME?</definedName>
    <definedName name="MscoInputCell915" hidden="1">#NAME?</definedName>
    <definedName name="MscoInputCell916" hidden="1">#NAME?</definedName>
    <definedName name="MscoInputCell917" hidden="1">#NAME?</definedName>
    <definedName name="MscoInputCell918" hidden="1">#NAME?</definedName>
    <definedName name="MscoInputCell919" hidden="1">#NAME?</definedName>
    <definedName name="MscoInputCell920" hidden="1">#NAME?</definedName>
    <definedName name="MscoInputCell921" hidden="1">#NAME?</definedName>
    <definedName name="MscoInputCell922" hidden="1">#NAME?</definedName>
    <definedName name="MscoInputCell923" hidden="1">#NAME?</definedName>
    <definedName name="MscoInputCell924" hidden="1">#NAME?</definedName>
    <definedName name="MscoInputCell925" hidden="1">#NAME?</definedName>
    <definedName name="MscoInputCell926" hidden="1">#NAME?</definedName>
    <definedName name="MscoInputCell927" hidden="1">#NAME?</definedName>
    <definedName name="MscoInputCell928" hidden="1">#NAME?</definedName>
    <definedName name="MscoInputCell929" hidden="1">#NAME?</definedName>
    <definedName name="MscoInputCell93" hidden="1">#NAME?</definedName>
    <definedName name="MscoInputCell930" hidden="1">#NAME?</definedName>
    <definedName name="MscoInputCell931" hidden="1">#NAME?</definedName>
    <definedName name="MscoInputCell932" hidden="1">#NAME?</definedName>
    <definedName name="MscoInputCell933" hidden="1">#NAME?</definedName>
    <definedName name="MscoInputCell934" hidden="1">#NAME?</definedName>
    <definedName name="MscoInputCell935" hidden="1">#NAME?</definedName>
    <definedName name="MscoInputCell936" hidden="1">#NAME?</definedName>
    <definedName name="MscoInputCell937" hidden="1">#NAME?</definedName>
    <definedName name="MscoInputCell938" hidden="1">#NAME?</definedName>
    <definedName name="MscoInputCell94" hidden="1">#NAME?</definedName>
    <definedName name="MscoInputCell945" hidden="1">#NAME?</definedName>
    <definedName name="MscoInputCell947" hidden="1">#NAME?</definedName>
    <definedName name="MscoInputCell948" hidden="1">#NAME?</definedName>
    <definedName name="MscoInputCell949" hidden="1">#NAME?</definedName>
    <definedName name="MscoInputCell95" hidden="1">#NAME?</definedName>
    <definedName name="MscoInputCell950" hidden="1">#NAME?</definedName>
    <definedName name="MscoInputCell951" hidden="1">#NAME?</definedName>
    <definedName name="MscoInputCell952" hidden="1">#NAME?</definedName>
    <definedName name="MscoInputCell953" hidden="1">#NAME?</definedName>
    <definedName name="MscoInputCell954" hidden="1">#NAME?</definedName>
    <definedName name="MscoInputCell955" hidden="1">#NAME?</definedName>
    <definedName name="MscoInputCell956" hidden="1">#NAME?</definedName>
    <definedName name="MscoInputCell957" hidden="1">#NAME?</definedName>
    <definedName name="MscoInputCell959" hidden="1">#NAME?</definedName>
    <definedName name="MscoInputCell96" hidden="1">#NAME?</definedName>
    <definedName name="MscoInputCell963" hidden="1">#NAME?</definedName>
    <definedName name="MscoInputCell964" hidden="1">#NAME?</definedName>
    <definedName name="MscoInputCell965" hidden="1">#NAME?</definedName>
    <definedName name="MscoInputCell966" hidden="1">#NAME?</definedName>
    <definedName name="MscoInputCell967" hidden="1">#NAME?</definedName>
    <definedName name="MscoInputCell968" hidden="1">#NAME?</definedName>
    <definedName name="MscoInputCell97" hidden="1">#NAME?</definedName>
    <definedName name="MscoInputCell972" hidden="1">#NAME?</definedName>
    <definedName name="MscoInputCell973" hidden="1">#NAME?</definedName>
    <definedName name="MscoInputCell974" hidden="1">#NAME?</definedName>
    <definedName name="MscoInputCell975" hidden="1">#NAME?</definedName>
    <definedName name="MscoInputCell976" hidden="1">#NAME?</definedName>
    <definedName name="MscoInputCell977" hidden="1">#NAME?</definedName>
    <definedName name="MscoInputCell978" hidden="1">#NAME?</definedName>
    <definedName name="MscoInputCell979" hidden="1">#NAME?</definedName>
    <definedName name="MscoInputCell98" hidden="1">#NAME?</definedName>
    <definedName name="MscoInputCell980" hidden="1">#NAME?</definedName>
    <definedName name="MscoInputCell981" hidden="1">#NAME?</definedName>
    <definedName name="MscoInputCell983" hidden="1">#NAME?</definedName>
    <definedName name="MscoInputCell984" hidden="1">#NAME?</definedName>
    <definedName name="MscoInputCell985" hidden="1">#NAME?</definedName>
    <definedName name="MscoInputCell986" hidden="1">#NAME?</definedName>
    <definedName name="MscoInputCell987" hidden="1">#NAME?</definedName>
    <definedName name="MscoInputCell988" hidden="1">#NAME?</definedName>
    <definedName name="MscoInputCell989" hidden="1">#NAME?</definedName>
    <definedName name="MscoInputCell99" hidden="1">#NAME?</definedName>
    <definedName name="MscoInputCell992" hidden="1">#NAME?</definedName>
    <definedName name="msgjsj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msgjs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msk" localSheetId="2">#REF!</definedName>
    <definedName name="msk">#REF!</definedName>
    <definedName name="msthkshkshk" localSheetId="2" hidden="1">{#N/A,#N/A,FALSE,"ACQ_GRAPHS";#N/A,#N/A,FALSE,"T_1 GRAPHS";#N/A,#N/A,FALSE,"T_2 GRAPHS";#N/A,#N/A,FALSE,"COMB_GRAPHS"}</definedName>
    <definedName name="msthkshkshk" hidden="1">{#N/A,#N/A,FALSE,"ACQ_GRAPHS";#N/A,#N/A,FALSE,"T_1 GRAPHS";#N/A,#N/A,FALSE,"T_2 GRAPHS";#N/A,#N/A,FALSE,"COMB_GRAPHS"}</definedName>
    <definedName name="MtsInQuarter">#NAME?</definedName>
    <definedName name="murm" localSheetId="2">#REF!</definedName>
    <definedName name="murm">#REF!</definedName>
    <definedName name="MVP_end">#REF!</definedName>
    <definedName name="n" localSheetId="2">#REF!</definedName>
    <definedName name="n">#REF!</definedName>
    <definedName name="n_valut">#REF!</definedName>
    <definedName name="n_vstavka">#REF!</definedName>
    <definedName name="na">#REF!</definedName>
    <definedName name="naa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aa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abchel" localSheetId="2">#REF!</definedName>
    <definedName name="nabchel">#REF!</definedName>
    <definedName name="NACH" localSheetId="2">#REF!</definedName>
    <definedName name="NACH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ALOG">#REF!</definedName>
    <definedName name="nalog_str">#REF!</definedName>
    <definedName name="NALOG_TOT">#REF!</definedName>
    <definedName name="Name" localSheetId="2">#REF!</definedName>
    <definedName name="name" hidden="1">{#N/A,#N/A,FALSE,"Aging Summary";#N/A,#N/A,FALSE,"Ratio Analysis";#N/A,#N/A,FALSE,"Test 120 Day Accts";#N/A,#N/A,FALSE,"Tickmarks"}</definedName>
    <definedName name="namedRange1">#REF!</definedName>
    <definedName name="nbbxx" localSheetId="2" hidden="1">{"'РП (2)'!$A$5:$S$150"}</definedName>
    <definedName name="nbbxx" hidden="1">{"'РП (2)'!$A$5:$S$150"}</definedName>
    <definedName name="ncheam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ETTO_DB1" localSheetId="2">#REF!</definedName>
    <definedName name="NETTO_DB1">#REF!</definedName>
    <definedName name="NETTO_DB10" localSheetId="2">#REF!</definedName>
    <definedName name="NETTO_DB10">#REF!</definedName>
    <definedName name="NETTO_DB11" localSheetId="2">#REF!</definedName>
    <definedName name="NETTO_DB11">#REF!</definedName>
    <definedName name="NETTO_DB12">#REF!</definedName>
    <definedName name="NETTO_DB13">#REF!</definedName>
    <definedName name="NETTO_DB14">#REF!</definedName>
    <definedName name="NETTO_DB15">#REF!</definedName>
    <definedName name="NETTO_DB16">#REF!</definedName>
    <definedName name="NETTO_DB17">#REF!</definedName>
    <definedName name="NETTO_DB18">#REF!</definedName>
    <definedName name="NETTO_DB19">#REF!</definedName>
    <definedName name="NETTO_DB2">#REF!</definedName>
    <definedName name="NETTO_DB20">#REF!</definedName>
    <definedName name="NETTO_DB21">#REF!</definedName>
    <definedName name="NETTO_DB22">#REF!</definedName>
    <definedName name="NETTO_DB23">#REF!</definedName>
    <definedName name="NETTO_DB24">#REF!</definedName>
    <definedName name="NETTO_DB25">#REF!</definedName>
    <definedName name="NETTO_DB26">#REF!</definedName>
    <definedName name="NETTO_DB27">#REF!</definedName>
    <definedName name="NETTO_DB28">#REF!</definedName>
    <definedName name="NETTO_DB29">#REF!</definedName>
    <definedName name="NETTO_DB3">#REF!</definedName>
    <definedName name="NETTO_DB30">#REF!</definedName>
    <definedName name="NETTO_DB31">#REF!</definedName>
    <definedName name="NETTO_DB4">#REF!</definedName>
    <definedName name="NETTO_DB5">#REF!</definedName>
    <definedName name="NETTO_DB6">#REF!</definedName>
    <definedName name="NETTO_DB7">#REF!</definedName>
    <definedName name="NETTO_DB8">#REF!</definedName>
    <definedName name="NETTO_DB9">#REF!</definedName>
    <definedName name="NETTO_TOTAL">#REF!</definedName>
    <definedName name="NEW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ew_DataBase_File" hidden="1">#NAME?</definedName>
    <definedName name="newDC" localSheetId="2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ewname" localSheetId="2" hidden="1">{#N/A,#N/A,TRUE,"Assumptions";#N/A,#N/A,TRUE,"Op Projection";#N/A,#N/A,TRUE,"Capital";#N/A,#N/A,TRUE,"Income";#N/A,#N/A,TRUE,"Balance";#N/A,#N/A,TRUE,"Sources&amp;Uses"}</definedName>
    <definedName name="newname" hidden="1">{#N/A,#N/A,TRUE,"Assumptions";#N/A,#N/A,TRUE,"Op Projection";#N/A,#N/A,TRUE,"Capital";#N/A,#N/A,TRUE,"Income";#N/A,#N/A,TRUE,"Balance";#N/A,#N/A,TRUE,"Sources&amp;Uses"}</definedName>
    <definedName name="NEWs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NII">#REF!</definedName>
    <definedName name="Nikita1" localSheetId="2" hidden="1">{"mgmt forecast",#N/A,FALSE,"Mgmt Forecast";"dcf table",#N/A,FALSE,"Mgmt Forecast";"sensitivity",#N/A,FALSE,"Mgmt Forecast";"table inputs",#N/A,FALSE,"Mgmt Forecast";"calculations",#N/A,FALSE,"Mgmt Forecast"}</definedName>
    <definedName name="Nikita1" hidden="1">{"mgmt forecast",#N/A,FALSE,"Mgmt Forecast";"dcf table",#N/A,FALSE,"Mgmt Forecast";"sensitivity",#N/A,FALSE,"Mgmt Forecast";"table inputs",#N/A,FALSE,"Mgmt Forecast";"calculations",#N/A,FALSE,"Mgmt Forecast"}</definedName>
    <definedName name="nnb" localSheetId="2" hidden="1">{"'РП (2)'!$A$5:$S$150"}</definedName>
    <definedName name="nnb" hidden="1">{"'РП (2)'!$A$5:$S$150"}</definedName>
    <definedName name="nng" localSheetId="2">#REF!</definedName>
    <definedName name="nng">#REF!</definedName>
    <definedName name="nnn" localSheetId="2" hidden="1">{#N/A,#N/A,FALSE,"Год 99."}</definedName>
    <definedName name="nnn" hidden="1">{#N/A,#N/A,FALSE,"Год 99."}</definedName>
    <definedName name="nnnnnnnnnnnnn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nn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nn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nnnnn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nnnnnnnnnnnnnnnnn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No" localSheetId="2">#REF!</definedName>
    <definedName name="no" hidden="1">{"Assumptions","High_Growth",TRUE,"Assumptions";"Summary",#N/A,TRUE,"Summary";"SummaryB",#N/A,TRUE,"Summary B";"Assumptions","Base_Case",TRUE,"Assumptions";"Summary",#N/A,TRUE,"Summary";"SummaryB",#N/A,TRUE,"Summary B";"Assumptions","No_Growth",TRUE,"Assumptions";"Summary",#N/A,TRUE,"Summary";"SummaryB",#N/A,TRUE,"Summary B"}</definedName>
    <definedName name="NoDataEng">#REF!</definedName>
    <definedName name="NoDataRus">#REF!</definedName>
    <definedName name="Nortel">#NAME?</definedName>
    <definedName name="NorthCheam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orth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ov" localSheetId="2">#REF!</definedName>
    <definedName name="nov">#REF!</definedName>
    <definedName name="novokuz" localSheetId="2">#REF!</definedName>
    <definedName name="novokuz">#REF!</definedName>
    <definedName name="novosib" localSheetId="2">#REF!</definedName>
    <definedName name="novosib">#REF!</definedName>
    <definedName name="Now">#REF!</definedName>
    <definedName name="NumberOfJob">#REF!</definedName>
    <definedName name="o" localSheetId="2" hidden="1">{"det (May)",#N/A,FALSE,"June";"sum (MAY YTD)",#N/A,FALSE,"June YTD"}</definedName>
    <definedName name="o">#REF!</definedName>
    <definedName name="OB_SAP" localSheetId="1" hidden="1">MAIN.SAPF4HELP()</definedName>
    <definedName name="OB_SAP" localSheetId="2" hidden="1">MAIN.SAPF4HELP()</definedName>
    <definedName name="OB_SAP" hidden="1">MAIN.SAPF4HELP()</definedName>
    <definedName name="Obj_no">#REF!</definedName>
    <definedName name="OC">{"'Всего'!$A$1:$F$19"}</definedName>
    <definedName name="OC01.05">{"'Всего'!$A$1:$F$19"}</definedName>
    <definedName name="OC01.05.07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oct" localSheetId="2">#REF!</definedName>
    <definedName name="oct">#REF!</definedName>
    <definedName name="od" localSheetId="2">#REF!</definedName>
    <definedName name="od">#REF!</definedName>
    <definedName name="OI" localSheetId="2" hidden="1">{#N/A,#N/A,FALSE,"Finanzplan";#N/A,#N/A,FALSE,"Bilanz";#N/A,#N/A,FALSE,"GuV"}</definedName>
    <definedName name="OI" hidden="1">{#N/A,#N/A,FALSE,"Finanzplan";#N/A,#N/A,FALSE,"Bilanz";#N/A,#N/A,FALSE,"GuV"}</definedName>
    <definedName name="OIbRisk">#REF!</definedName>
    <definedName name="oik" localSheetId="2" hidden="1">{#N/A,#N/A,FALSE,"Finanzplan";#N/A,#N/A,FALSE,"Bilanz";#N/A,#N/A,FALSE,"GuV"}</definedName>
    <definedName name="oik" hidden="1">{#N/A,#N/A,FALSE,"Finanzplan";#N/A,#N/A,FALSE,"Bilanz";#N/A,#N/A,FALSE,"GuV"}</definedName>
    <definedName name="oiuytrel" localSheetId="2" hidden="1">{"'РП (2)'!$A$5:$S$150"}</definedName>
    <definedName name="oiuytrel" hidden="1">{"'РП (2)'!$A$5:$S$150"}</definedName>
    <definedName name="ojiawf" localSheetId="2" hidden="1">{#N/A,#N/A,FALSE,"Finanzplan";#N/A,#N/A,FALSE,"Bilanz";#N/A,#N/A,FALSE,"GuV"}</definedName>
    <definedName name="ojiawf" hidden="1">{#N/A,#N/A,FALSE,"Finanzplan";#N/A,#N/A,FALSE,"Bilanz";#N/A,#N/A,FALSE,"GuV"}</definedName>
    <definedName name="omsk" localSheetId="2">#REF!</definedName>
    <definedName name="omsk">#REF!</definedName>
    <definedName name="oo" localSheetId="2" hidden="1">#REF!</definedName>
    <definedName name="oo" hidden="1">#REF!</definedName>
    <definedName name="ooo" localSheetId="2" hidden="1">{#N/A,#N/A,FALSE,"magsep2";#N/A,#N/A,FALSE,"¾"" X ½""";#N/A,#N/A,FALSE,"½"" X ¼""";#N/A,#N/A,FALSE,"¼"" X 8 Mesh";#N/A,#N/A,FALSE,"8 X 14 Mesh"}</definedName>
    <definedName name="ooo" hidden="1">{#N/A,#N/A,FALSE,"magsep2";#N/A,#N/A,FALSE,"¾"" X ½""";#N/A,#N/A,FALSE,"½"" X ¼""";#N/A,#N/A,FALSE,"¼"" X 8 Mesh";#N/A,#N/A,FALSE,"8 X 14 Mesh"}</definedName>
    <definedName name="oooooo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oooooo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OpenBalans_01GAAPПроизводственные" hidden="1">#NAME?</definedName>
    <definedName name="OpenBalans_09GAAP" hidden="1">#NAME?</definedName>
    <definedName name="OPEX">#REF!</definedName>
    <definedName name="OPEX.ad">#REF!</definedName>
    <definedName name="OPEX.unad">#REF!</definedName>
    <definedName name="OPEX_Defl">#NAME?</definedName>
    <definedName name="Ops_start">#REF!</definedName>
    <definedName name="Opt_IRR1">#NAME?</definedName>
    <definedName name="Opt_IRR10">#REF!</definedName>
    <definedName name="Opt_IRR11">#REF!</definedName>
    <definedName name="Opt_IRR12">#NAME?</definedName>
    <definedName name="Opt_IRR2">#NAME?</definedName>
    <definedName name="Opt_IRR3">#REF!</definedName>
    <definedName name="Opt_IRR4">#REF!</definedName>
    <definedName name="Opt_IRR5">#NAME?</definedName>
    <definedName name="Opt_IRR6">#REF!</definedName>
    <definedName name="Opt_IRR7">#NAME?</definedName>
    <definedName name="Opt_IRR8">#NAME?</definedName>
    <definedName name="Opt_IRR9">#NAME?</definedName>
    <definedName name="Order2" hidden="1">1</definedName>
    <definedName name="orenbur" localSheetId="2">#REF!</definedName>
    <definedName name="orenbur">#REF!</definedName>
    <definedName name="OSB">#REF!</definedName>
    <definedName name="Osmaston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Osmas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OST_KV_SH" localSheetId="2" hidden="1">{#N/A,#N/A,FALSE,"SimInp1";#N/A,#N/A,FALSE,"SimInp2";#N/A,#N/A,FALSE,"SimOut1";#N/A,#N/A,FALSE,"SimOut2";#N/A,#N/A,FALSE,"SimOut3";#N/A,#N/A,FALSE,"SimOut4";#N/A,#N/A,FALSE,"SimOut5"}</definedName>
    <definedName name="OST_KV_SH" hidden="1">{#N/A,#N/A,FALSE,"SimInp1";#N/A,#N/A,FALSE,"SimInp2";#N/A,#N/A,FALSE,"SimOut1";#N/A,#N/A,FALSE,"SimOut2";#N/A,#N/A,FALSE,"SimOut3";#N/A,#N/A,FALSE,"SimOut4";#N/A,#N/A,FALSE,"SimOut5"}</definedName>
    <definedName name="OST_SH" localSheetId="2" hidden="1">{#N/A,#N/A,FALSE,"SimInp1";#N/A,#N/A,FALSE,"SimInp2";#N/A,#N/A,FALSE,"SimOut1";#N/A,#N/A,FALSE,"SimOut2";#N/A,#N/A,FALSE,"SimOut3";#N/A,#N/A,FALSE,"SimOut4";#N/A,#N/A,FALSE,"SimOut5"}</definedName>
    <definedName name="OST_SH" hidden="1">{#N/A,#N/A,FALSE,"SimInp1";#N/A,#N/A,FALSE,"SimInp2";#N/A,#N/A,FALSE,"SimOut1";#N/A,#N/A,FALSE,"SimOut2";#N/A,#N/A,FALSE,"SimOut3";#N/A,#N/A,FALSE,"SimOut4";#N/A,#N/A,FALSE,"SimOut5"}</definedName>
    <definedName name="other" localSheetId="2">#REF!</definedName>
    <definedName name="other">#REF!</definedName>
    <definedName name="OTHERLIAB" localSheetId="2">#REF!</definedName>
    <definedName name="OTHERLIAB">#REF!</definedName>
    <definedName name="p" localSheetId="2">#REF!</definedName>
    <definedName name="p">#REF!</definedName>
    <definedName name="P_1_1_R">#REF!</definedName>
    <definedName name="P_1_1_S">#REF!</definedName>
    <definedName name="P_1_1_V">#REF!</definedName>
    <definedName name="P_1_2_R">#REF!</definedName>
    <definedName name="P_1_2_S">#REF!</definedName>
    <definedName name="P_1_2_V">#REF!</definedName>
    <definedName name="P_1_3_R">#REF!</definedName>
    <definedName name="P_1_3_S">#REF!</definedName>
    <definedName name="P_1_3_V">#REF!</definedName>
    <definedName name="P_1_4_R">#REF!</definedName>
    <definedName name="P_1_4_S">#REF!</definedName>
    <definedName name="P_1_4_V">#REF!</definedName>
    <definedName name="P_1_R">#REF!</definedName>
    <definedName name="P_1_S">#REF!</definedName>
    <definedName name="P_1_V">#REF!</definedName>
    <definedName name="P_10_R">#REF!</definedName>
    <definedName name="P_10_S">#REF!</definedName>
    <definedName name="P_10_V">#REF!</definedName>
    <definedName name="P_11_R">#REF!</definedName>
    <definedName name="P_11_S">#REF!</definedName>
    <definedName name="P_11_V">#REF!</definedName>
    <definedName name="P_12_R">#REF!</definedName>
    <definedName name="P_12_S">#REF!</definedName>
    <definedName name="P_12_V">#REF!</definedName>
    <definedName name="P_2_1_R">#REF!</definedName>
    <definedName name="P_2_1_S">#REF!</definedName>
    <definedName name="P_2_1_V">#REF!</definedName>
    <definedName name="P_2_2_R">#REF!</definedName>
    <definedName name="P_2_2_S">#REF!</definedName>
    <definedName name="P_2_2_V">#REF!</definedName>
    <definedName name="P_2_R">#REF!</definedName>
    <definedName name="P_2_S">#REF!</definedName>
    <definedName name="P_2_V">#REF!</definedName>
    <definedName name="P_3_R">#REF!</definedName>
    <definedName name="P_3_S">#REF!</definedName>
    <definedName name="P_3_V">#REF!</definedName>
    <definedName name="P_4_R">#REF!</definedName>
    <definedName name="P_4_S">#REF!</definedName>
    <definedName name="P_4_V">#REF!</definedName>
    <definedName name="P_5_R">#REF!</definedName>
    <definedName name="P_5_S">#REF!</definedName>
    <definedName name="P_5_V">#REF!</definedName>
    <definedName name="P_6_R">#REF!</definedName>
    <definedName name="P_6_S">#REF!</definedName>
    <definedName name="P_6_V">#REF!</definedName>
    <definedName name="P_7_R">#REF!</definedName>
    <definedName name="P_7_S">#REF!</definedName>
    <definedName name="P_7_V">#REF!</definedName>
    <definedName name="P_8_R">#REF!</definedName>
    <definedName name="P_8_S">#REF!</definedName>
    <definedName name="P_8_V">#REF!</definedName>
    <definedName name="P_9_R">#REF!</definedName>
    <definedName name="P_9_S">#REF!</definedName>
    <definedName name="P_9_V">#REF!</definedName>
    <definedName name="P_CAPTION1">#REF!</definedName>
    <definedName name="P_CAPTION2">#REF!</definedName>
    <definedName name="P_I_R">#REF!</definedName>
    <definedName name="P_I_S">#REF!</definedName>
    <definedName name="P_I_V">#REF!</definedName>
    <definedName name="P_II_R">#REF!</definedName>
    <definedName name="P_II_S">#REF!</definedName>
    <definedName name="P_II_V">#REF!</definedName>
    <definedName name="P_ITOG_R">#REF!</definedName>
    <definedName name="P_ITOG_S">#REF!</definedName>
    <definedName name="P_ITOG_V">#REF!</definedName>
    <definedName name="P1_ESO_PROT" localSheetId="2" hidden="1">#REF!</definedName>
    <definedName name="P1_ESO_PROT" hidden="1">#REF!</definedName>
    <definedName name="P1_EXPENSES" localSheetId="2" hidden="1">#REF!</definedName>
    <definedName name="P1_EXPENSES" hidden="1">#REF!</definedName>
    <definedName name="P1_EXPENSES2" localSheetId="2" hidden="1">#REF!</definedName>
    <definedName name="P1_EXPENSES2" hidden="1">#REF!</definedName>
    <definedName name="P1_RANGE4" hidden="1">#REF!</definedName>
    <definedName name="P1_SBT_PROT" hidden="1">#REF!</definedName>
    <definedName name="P1_SCOPE_FLOAD" hidden="1">#REF!</definedName>
    <definedName name="P1_SCOPE_FRML" hidden="1">#REF!</definedName>
    <definedName name="P1_SET_PROT" hidden="1">#REF!</definedName>
    <definedName name="P1_SET_PRT" hidden="1">#REF!</definedName>
    <definedName name="P1_TOTAL" hidden="1">#REF!</definedName>
    <definedName name="P1_TOTAL1" hidden="1">#REF!</definedName>
    <definedName name="P2_RANGE4" hidden="1">#REF!</definedName>
    <definedName name="P2_TOTAL" hidden="1">#REF!</definedName>
    <definedName name="P2_TOTAL1" hidden="1">#REF!</definedName>
    <definedName name="P3_TOTAL" hidden="1">#REF!</definedName>
    <definedName name="P3_TOTAL1" hidden="1">#REF!</definedName>
    <definedName name="P4_TOTAL" hidden="1">#REF!</definedName>
    <definedName name="P4_TOTAL1" hidden="1">#REF!</definedName>
    <definedName name="P5_TOTAL" hidden="1">#REF!</definedName>
    <definedName name="P5_TOTAL1" hidden="1">#REF!</definedName>
    <definedName name="P6_TOTAL1" hidden="1">#REF!</definedName>
    <definedName name="PASSTE_RANGE">#REF!</definedName>
    <definedName name="PAST_INTEREST">#REF!</definedName>
    <definedName name="PASTE">#REF!</definedName>
    <definedName name="PASTE_INTEREST">#REF!</definedName>
    <definedName name="PASTE_RANGE">#REF!</definedName>
    <definedName name="Pbt">#REF!</definedName>
    <definedName name="PC_E">{"'CVB-Zinssatz Akt'!$A$2:$M$10","'CVB Ist'!$C$35:$O$37"}</definedName>
    <definedName name="PE_headings" localSheetId="2">#REF!</definedName>
    <definedName name="PE_headings">#REF!</definedName>
    <definedName name="pedro">{#N/A,"30% Success",TRUE,"Sales Forecast";#N/A,#N/A,TRUE,"Sheet2"}</definedName>
    <definedName name="pedro_1">{#N/A,"30% Success",TRUE,"Sales Forecast";#N/A,#N/A,TRUE,"Sheet2"}</definedName>
    <definedName name="pedro_2">{#N/A,"30% Success",TRUE,"Sales Forecast";#N/A,#N/A,TRUE,"Sheet2"}</definedName>
    <definedName name="penza" localSheetId="2">#REF!</definedName>
    <definedName name="penza">#REF!</definedName>
    <definedName name="period" localSheetId="2">#REF!</definedName>
    <definedName name="period">#REF!</definedName>
    <definedName name="Period_Count">#REF!</definedName>
    <definedName name="Period_End">#REF!</definedName>
    <definedName name="Period_Start">#REF!</definedName>
    <definedName name="perm" localSheetId="2">#REF!</definedName>
    <definedName name="perm">#REF!</definedName>
    <definedName name="petr" localSheetId="2">#REF!</definedName>
    <definedName name="petr">#REF!</definedName>
    <definedName name="pf1wrn.all" localSheetId="2" hidden="1">{"Fiesta Facer Page",#N/A,FALSE,"Q_C_S";"Fiesta Main Page",#N/A,FALSE,"V_L";"Fiesta 95BP Struct",#N/A,FALSE,"StructBP";"Fiesta Post 95BP Struct",#N/A,FALSE,"AdjStructBP"}</definedName>
    <definedName name="pf1wrn.all" hidden="1">{"Fiesta Facer Page",#N/A,FALSE,"Q_C_S";"Fiesta Main Page",#N/A,FALSE,"V_L";"Fiesta 95BP Struct",#N/A,FALSE,"StructBP";"Fiesta Post 95BP Struct",#N/A,FALSE,"AdjStructBP"}</definedName>
    <definedName name="pf1wrn.Presentation" localSheetId="2" hidden="1">{"Presentation",#N/A,FALSE,"Feb96 - ALL"}</definedName>
    <definedName name="pf1wrn.Presentation" hidden="1">{"Presentation",#N/A,FALSE,"Feb96 - ALL"}</definedName>
    <definedName name="pf1wrn.TCR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HR">{"'CVB-Zinssatz Akt'!$A$2:$M$10","'CVB Ist'!$C$35:$O$37"}</definedName>
    <definedName name="Pilot_end">#REF!</definedName>
    <definedName name="Pilot_start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ogash">#REF!</definedName>
    <definedName name="poi" localSheetId="2" hidden="1">{#N/A,#N/A,FALSE,"Год 99."}</definedName>
    <definedName name="poi" hidden="1">{#N/A,#N/A,FALSE,"Год 99."}</definedName>
    <definedName name="portfolio_share" localSheetId="2">#REF!</definedName>
    <definedName name="portfolio_share">#REF!</definedName>
    <definedName name="pos">#REF!</definedName>
    <definedName name="posdes">#REF!</definedName>
    <definedName name="pp" localSheetId="2" hidden="1">{#VALUE!,#N/A,TRUE,0}</definedName>
    <definedName name="pp" hidden="1">{#VALUE!,#N/A,TRUE,0}</definedName>
    <definedName name="Pres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">#REF!</definedName>
    <definedName name="priApplication1">#REF!</definedName>
    <definedName name="priApplication2">#REF!</definedName>
    <definedName name="priDate1">#REF!</definedName>
    <definedName name="priDate2">#REF!</definedName>
    <definedName name="příjmy" localSheetId="2" hidden="1">{"glc1",#N/A,FALSE,"GLC";"glc2",#N/A,FALSE,"GLC";"glc3",#N/A,FALSE,"GLC";"glc4",#N/A,FALSE,"GLC";"glc5",#N/A,FALSE,"GLC"}</definedName>
    <definedName name="příjmy" hidden="1">{"glc1",#N/A,FALSE,"GLC";"glc2",#N/A,FALSE,"GLC";"glc3",#N/A,FALSE,"GLC";"glc4",#N/A,FALSE,"GLC";"glc5",#N/A,FALSE,"GLC"}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L17_PR10_1">#REF!</definedName>
    <definedName name="PRIL17_PR10_10">#REF!</definedName>
    <definedName name="PRIL17_PR10_11">#REF!</definedName>
    <definedName name="PRIL17_PR10_1P">#REF!</definedName>
    <definedName name="PRIL17_PR10_2">#REF!</definedName>
    <definedName name="PRIL17_PR10_2P">#REF!</definedName>
    <definedName name="PRIL17_PR10_3">#REF!</definedName>
    <definedName name="PRIL17_PR10_3P">#REF!</definedName>
    <definedName name="PRIL17_PR10_4">#REF!</definedName>
    <definedName name="PRIL17_PR10_4P">#REF!</definedName>
    <definedName name="PRIL17_PR10_5">#REF!</definedName>
    <definedName name="PRIL17_PR10_5P">#REF!</definedName>
    <definedName name="PRIL17_PR10_6">#REF!</definedName>
    <definedName name="PRIL17_PR10_6P">#REF!</definedName>
    <definedName name="PRIL17_PR10_7">#REF!</definedName>
    <definedName name="PRIL17_PR10_7P">#REF!</definedName>
    <definedName name="PRIL17_PR10_8">#REF!</definedName>
    <definedName name="PRIL17_PR10_9">#REF!</definedName>
    <definedName name="PRIL17_PR11_1">#REF!</definedName>
    <definedName name="PRIL17_PR11_10">#REF!</definedName>
    <definedName name="PRIL17_PR11_11">#REF!</definedName>
    <definedName name="PRIL17_PR11_2">#REF!</definedName>
    <definedName name="PRIL17_PR11_2P">#REF!</definedName>
    <definedName name="PRIL17_PR11_3">#REF!</definedName>
    <definedName name="PRIL17_PR11_3P">#REF!</definedName>
    <definedName name="PRIL17_PR11_4">#REF!</definedName>
    <definedName name="PRIL17_PR11_5">#REF!</definedName>
    <definedName name="PRIL17_PR11_5P">#REF!</definedName>
    <definedName name="PRIL17_PR11_6">#REF!</definedName>
    <definedName name="PRIL17_PR11_6P">#REF!</definedName>
    <definedName name="PRIL17_PR11_7">#REF!</definedName>
    <definedName name="PRIL17_PR11_7P">#REF!</definedName>
    <definedName name="PRIL17_PR11_8">#REF!</definedName>
    <definedName name="PRIL17_PR11_9">#REF!</definedName>
    <definedName name="PRIL17_PR12_1">#REF!</definedName>
    <definedName name="PRIL17_PR12_10">#REF!</definedName>
    <definedName name="PRIL17_PR12_11">#REF!</definedName>
    <definedName name="PRIL17_PR12_1P">#REF!</definedName>
    <definedName name="PRIL17_PR12_2">#REF!</definedName>
    <definedName name="PRIL17_PR12_2P">#REF!</definedName>
    <definedName name="PRIL17_PR12_3">#REF!</definedName>
    <definedName name="PRIL17_PR12_3P">#REF!</definedName>
    <definedName name="PRIL17_PR12_4">#REF!</definedName>
    <definedName name="PRIL17_PR12_4P">#REF!</definedName>
    <definedName name="PRIL17_PR12_5">#REF!</definedName>
    <definedName name="PRIL17_PR12_5P">#REF!</definedName>
    <definedName name="PRIL17_PR12_6">#REF!</definedName>
    <definedName name="PRIL17_PR12_6P">#REF!</definedName>
    <definedName name="PRIL17_PR12_7">#REF!</definedName>
    <definedName name="PRIL17_PR12_7P">#REF!</definedName>
    <definedName name="PRIL17_PR12_8">#REF!</definedName>
    <definedName name="PRIL17_PR12_9">#REF!</definedName>
    <definedName name="PRIL17_PR13_1">#REF!</definedName>
    <definedName name="PRIL17_PR13_10">#REF!</definedName>
    <definedName name="PRIL17_PR13_11">#REF!</definedName>
    <definedName name="PRIL17_PR13_1P">#REF!</definedName>
    <definedName name="PRIL17_PR13_2">#REF!</definedName>
    <definedName name="PRIL17_PR13_2P">#REF!</definedName>
    <definedName name="PRIL17_PR13_3">#REF!</definedName>
    <definedName name="PRIL17_PR13_3P">#REF!</definedName>
    <definedName name="PRIL17_PR13_4">#REF!</definedName>
    <definedName name="PRIL17_PR13_4P">#REF!</definedName>
    <definedName name="PRIL17_PR13_5">#REF!</definedName>
    <definedName name="PRIL17_PR13_5P">#REF!</definedName>
    <definedName name="PRIL17_PR13_6">#REF!</definedName>
    <definedName name="PRIL17_PR13_6P">#REF!</definedName>
    <definedName name="PRIL17_PR13_7">#REF!</definedName>
    <definedName name="PRIL17_PR13_7P">#REF!</definedName>
    <definedName name="PRIL17_PR13_8">#REF!</definedName>
    <definedName name="PRIL17_PR13_9">#REF!</definedName>
    <definedName name="PRIL17_PR141516_1">#REF!</definedName>
    <definedName name="PRIL17_PR141516_10">#REF!</definedName>
    <definedName name="PRIL17_PR141516_11">#REF!</definedName>
    <definedName name="PRIL17_PR141516_1P">#REF!</definedName>
    <definedName name="PRIL17_PR141516_2">#REF!</definedName>
    <definedName name="PRIL17_PR141516_2P">#REF!</definedName>
    <definedName name="PRIL17_PR141516_3">#REF!</definedName>
    <definedName name="PRIL17_PR141516_3P">#REF!</definedName>
    <definedName name="PRIL17_PR141516_4">#REF!</definedName>
    <definedName name="PRIL17_PR141516_4P">#REF!</definedName>
    <definedName name="PRIL17_PR141516_5">#REF!</definedName>
    <definedName name="PRIL17_PR141516_5P">#REF!</definedName>
    <definedName name="PRIL17_PR141516_6">#REF!</definedName>
    <definedName name="PRIL17_PR141516_6P">#REF!</definedName>
    <definedName name="PRIL17_PR141516_7">#REF!</definedName>
    <definedName name="PRIL17_PR141516_7P">#REF!</definedName>
    <definedName name="PRIL17_PR141516_8">#REF!</definedName>
    <definedName name="PRIL17_PR141516_9">#REF!</definedName>
    <definedName name="PRIL17_PR17_1">#REF!</definedName>
    <definedName name="PRIL17_PR17_10">#REF!</definedName>
    <definedName name="PRIL17_PR17_11">#REF!</definedName>
    <definedName name="PRIL17_PR17_1P">#REF!</definedName>
    <definedName name="PRIL17_PR17_2">#REF!</definedName>
    <definedName name="PRIL17_PR17_2P">#REF!</definedName>
    <definedName name="PRIL17_PR17_3">#REF!</definedName>
    <definedName name="PRIL17_PR17_3P">#REF!</definedName>
    <definedName name="PRIL17_PR17_4">#REF!</definedName>
    <definedName name="PRIL17_PR17_4P">#REF!</definedName>
    <definedName name="PRIL17_PR17_5">#REF!</definedName>
    <definedName name="PRIL17_PR17_5P">#REF!</definedName>
    <definedName name="PRIL17_PR17_6">#REF!</definedName>
    <definedName name="PRIL17_PR17_6P">#REF!</definedName>
    <definedName name="PRIL17_PR17_7">#REF!</definedName>
    <definedName name="PRIL17_PR17_7P">#REF!</definedName>
    <definedName name="PRIL17_PR17_8">#REF!</definedName>
    <definedName name="PRIL17_PR17_9">#REF!</definedName>
    <definedName name="PRIL17_PR67_1">#REF!</definedName>
    <definedName name="PRIL17_PR67_10">#REF!</definedName>
    <definedName name="PRIL17_PR67_11">#REF!</definedName>
    <definedName name="PRIL17_PR67_1P">#REF!</definedName>
    <definedName name="PRIL17_PR67_2">#REF!</definedName>
    <definedName name="PRIL17_PR67_2P">#REF!</definedName>
    <definedName name="PRIL17_PR67_3">#REF!</definedName>
    <definedName name="PRIL17_PR67_3P">#REF!</definedName>
    <definedName name="PRIL17_PR67_4">#REF!</definedName>
    <definedName name="PRIL17_PR67_4P">#REF!</definedName>
    <definedName name="PRIL17_PR67_5">#REF!</definedName>
    <definedName name="PRIL17_PR67_5P">#REF!</definedName>
    <definedName name="PRIL17_PR67_6">#REF!</definedName>
    <definedName name="PRIL17_PR67_6P">#REF!</definedName>
    <definedName name="PRIL17_PR67_7">#REF!</definedName>
    <definedName name="PRIL17_PR67_7P">#REF!</definedName>
    <definedName name="PRIL17_PR67_8">#REF!</definedName>
    <definedName name="PRIL17_PR67_9">#REF!</definedName>
    <definedName name="PRIL17_PR8_1">#REF!</definedName>
    <definedName name="PRIL17_PR8_10">#REF!</definedName>
    <definedName name="PRIL17_PR8_11">#REF!</definedName>
    <definedName name="PRIL17_PR8_1P">#REF!</definedName>
    <definedName name="PRIL17_PR8_2">#REF!</definedName>
    <definedName name="PRIL17_PR8_2P">#REF!</definedName>
    <definedName name="PRIL17_PR8_3">#REF!</definedName>
    <definedName name="PRIL17_PR8_3P">#REF!</definedName>
    <definedName name="PRIL17_PR8_4">#REF!</definedName>
    <definedName name="PRIL17_PR8_4P">#REF!</definedName>
    <definedName name="PRIL17_PR8_5">#REF!</definedName>
    <definedName name="PRIL17_PR8_5P">#REF!</definedName>
    <definedName name="PRIL17_PR8_6">#REF!</definedName>
    <definedName name="PRIL17_PR8_6P">#REF!</definedName>
    <definedName name="PRIL17_PR8_7">#REF!</definedName>
    <definedName name="PRIL17_PR8_7P">#REF!</definedName>
    <definedName name="PRIL17_PR8_8">#REF!</definedName>
    <definedName name="PRIL17_PR8_9">#REF!</definedName>
    <definedName name="PRIL17_PR9_1">#REF!</definedName>
    <definedName name="PRIL17_PR9_10">#REF!</definedName>
    <definedName name="PRIL17_PR9_11">#REF!</definedName>
    <definedName name="PRIL17_PR9_1P">#REF!</definedName>
    <definedName name="PRIL17_PR9_2">#REF!</definedName>
    <definedName name="PRIL17_PR9_2P">#REF!</definedName>
    <definedName name="PRIL17_PR9_3">#REF!</definedName>
    <definedName name="PRIL17_PR9_3P">#REF!</definedName>
    <definedName name="PRIL17_PR9_4">#REF!</definedName>
    <definedName name="PRIL17_PR9_4P">#REF!</definedName>
    <definedName name="PRIL17_PR9_5">#REF!</definedName>
    <definedName name="PRIL17_PR9_5P">#REF!</definedName>
    <definedName name="PRIL17_PR9_6">#REF!</definedName>
    <definedName name="PRIL17_PR9_6P">#REF!</definedName>
    <definedName name="PRIL17_PR9_7">#REF!</definedName>
    <definedName name="PRIL17_PR9_7P">#REF!</definedName>
    <definedName name="PRIL17_PR9_8">#REF!</definedName>
    <definedName name="PRIL17_PR9_9">#REF!</definedName>
    <definedName name="PRINT1">#REF!</definedName>
    <definedName name="PRINT2">#REF!</definedName>
    <definedName name="PRINT3">#REF!</definedName>
    <definedName name="PRINT6">#REF!</definedName>
    <definedName name="PRINTALLLEADS">#REF!</definedName>
    <definedName name="PRINTB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vatebankingPrivatewealthmanagement">#REF!</definedName>
    <definedName name="priWSum1">#REF!</definedName>
    <definedName name="priWSum2">#REF!</definedName>
    <definedName name="priWSumC">#REF!</definedName>
    <definedName name="Prop_Tax">#REF!</definedName>
    <definedName name="Property">#REF!</definedName>
    <definedName name="PROV_1">#REF!</definedName>
    <definedName name="PROV_1_">#REF!</definedName>
    <definedName name="prtar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prtar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ps" localSheetId="2">#REF!</definedName>
    <definedName name="ps">#REF!</definedName>
    <definedName name="pskov" localSheetId="2">#REF!</definedName>
    <definedName name="pskov">#REF!</definedName>
    <definedName name="PT_1_1_R" localSheetId="2">#REF!</definedName>
    <definedName name="PT_1_1_R">#REF!</definedName>
    <definedName name="PT_1_1_S">#REF!</definedName>
    <definedName name="PT_1_1_V">#REF!</definedName>
    <definedName name="PT_1_2_R">#REF!</definedName>
    <definedName name="PT_1_2_S">#REF!</definedName>
    <definedName name="PT_1_2_V">#REF!</definedName>
    <definedName name="PT_1_3_R">#REF!</definedName>
    <definedName name="PT_1_3_S">#REF!</definedName>
    <definedName name="PT_1_3_V">#REF!</definedName>
    <definedName name="PT_1_4_R">#REF!</definedName>
    <definedName name="PT_1_4_S">#REF!</definedName>
    <definedName name="PT_1_4_V">#REF!</definedName>
    <definedName name="PT_1_R">#REF!</definedName>
    <definedName name="PT_1_S">#REF!</definedName>
    <definedName name="PT_1_V">#REF!</definedName>
    <definedName name="PT_10_R">#REF!</definedName>
    <definedName name="PT_10_S">#REF!</definedName>
    <definedName name="PT_10_V">#REF!</definedName>
    <definedName name="PT_11_R">#REF!</definedName>
    <definedName name="PT_11_S">#REF!</definedName>
    <definedName name="PT_11_V">#REF!</definedName>
    <definedName name="PT_12_R">#REF!</definedName>
    <definedName name="PT_12_S">#REF!</definedName>
    <definedName name="PT_12_V">#REF!</definedName>
    <definedName name="PT_2_1_R">#REF!</definedName>
    <definedName name="PT_2_1_S">#REF!</definedName>
    <definedName name="PT_2_1_V">#REF!</definedName>
    <definedName name="PT_2_2_R">#REF!</definedName>
    <definedName name="PT_2_2_S">#REF!</definedName>
    <definedName name="PT_2_2_V">#REF!</definedName>
    <definedName name="PT_2_R">#REF!</definedName>
    <definedName name="PT_2_S">#REF!</definedName>
    <definedName name="PT_2_V">#REF!</definedName>
    <definedName name="PT_3_R">#REF!</definedName>
    <definedName name="PT_3_S">#REF!</definedName>
    <definedName name="PT_3_V">#REF!</definedName>
    <definedName name="PT_4_R">#REF!</definedName>
    <definedName name="PT_4_S">#REF!</definedName>
    <definedName name="PT_4_V">#REF!</definedName>
    <definedName name="PT_5_R">#REF!</definedName>
    <definedName name="PT_5_S">#REF!</definedName>
    <definedName name="PT_5_V">#REF!</definedName>
    <definedName name="PT_6_R">#REF!</definedName>
    <definedName name="PT_6_S">#REF!</definedName>
    <definedName name="PT_6_V">#REF!</definedName>
    <definedName name="PT_7_R">#REF!</definedName>
    <definedName name="PT_7_S">#REF!</definedName>
    <definedName name="PT_7_V">#REF!</definedName>
    <definedName name="PT_8_R">#REF!</definedName>
    <definedName name="PT_8_S">#REF!</definedName>
    <definedName name="PT_8_V">#REF!</definedName>
    <definedName name="PT_9_R">#REF!</definedName>
    <definedName name="PT_9_S">#REF!</definedName>
    <definedName name="PT_9_V">#REF!</definedName>
    <definedName name="PT_I_R">#REF!</definedName>
    <definedName name="PT_I_S">#REF!</definedName>
    <definedName name="PT_I_V">#REF!</definedName>
    <definedName name="PT_II_R">#REF!</definedName>
    <definedName name="PT_II_S">#REF!</definedName>
    <definedName name="PT_II_V">#REF!</definedName>
    <definedName name="PT_ITOG_R">#REF!</definedName>
    <definedName name="PT_ITOG_S">#REF!</definedName>
    <definedName name="PT_ITOG_V">#REF!</definedName>
    <definedName name="PUB_FileID" hidden="1">"L10003363.xls"</definedName>
    <definedName name="PUB_UserID" hidden="1">"MAYERX"</definedName>
    <definedName name="pump" localSheetId="2" hidden="1">{#N/A,#N/A,FALSE,"magsep2";#N/A,#N/A,FALSE,"¾"" X ½""";#N/A,#N/A,FALSE,"½"" X ¼""";#N/A,#N/A,FALSE,"¼"" X 8 Mesh";#N/A,#N/A,FALSE,"8 X 14 Mesh"}</definedName>
    <definedName name="pump" hidden="1">{#N/A,#N/A,FALSE,"magsep2";#N/A,#N/A,FALSE,"¾"" X ½""";#N/A,#N/A,FALSE,"½"" X ¼""";#N/A,#N/A,FALSE,"¼"" X 8 Mesh";#N/A,#N/A,FALSE,"8 X 14 Mesh"}</definedName>
    <definedName name="Purpose" localSheetId="2">#REF!</definedName>
    <definedName name="Purpose">#REF!</definedName>
    <definedName name="PwC">{#N/A,#N/A,FALSE,"NBU rates 1999"}</definedName>
    <definedName name="q">{"'Всего'!$A$1:$F$19"}</definedName>
    <definedName name="Q_lsv_pok_DOHOD_PASS" hidden="1">#NAME?</definedName>
    <definedName name="Q_lsv_pok_DOHOD_PASS_BRUTTO" hidden="1">#NAME?</definedName>
    <definedName name="Q_lsv_pok_KREIS" hidden="1">#NAME?</definedName>
    <definedName name="Q_lsv_pok_NAME1" hidden="1">#NAME?</definedName>
    <definedName name="Q_lsv_pok_NAME2" hidden="1">#NAME?</definedName>
    <definedName name="Q_lsv_pok_NAME3" hidden="1">#NAME?</definedName>
    <definedName name="Q_lsv_pok_SDATA" hidden="1">#NAME?</definedName>
    <definedName name="Q_lsv_pok_SS0" hidden="1">#NAME?</definedName>
    <definedName name="Q_lsv_pok_SS1" hidden="1">#NAME?</definedName>
    <definedName name="Q_lsv_pok_SSDATE" hidden="1">#NAME?</definedName>
    <definedName name="Q_lsv_pok_TEXT" hidden="1">#NAME?</definedName>
    <definedName name="Q0_DICT">#REF!</definedName>
    <definedName name="Q0_DICT_EXT_ID">#REF!</definedName>
    <definedName name="Q0_DICT_NAME">#REF!</definedName>
    <definedName name="Q0_GET_NAME">#REF!</definedName>
    <definedName name="QDATE_BAL01">#REF!</definedName>
    <definedName name="QDATE_BAL02">#REF!</definedName>
    <definedName name="QDATE_BAL03">#REF!</definedName>
    <definedName name="QDATE_BAL04">#REF!</definedName>
    <definedName name="QDATE_BAL05">#REF!</definedName>
    <definedName name="QDATE_BAL06">#REF!</definedName>
    <definedName name="QDATE_BAL07">#REF!</definedName>
    <definedName name="QDATE_BAL08">#REF!</definedName>
    <definedName name="QDATE_BAL09">#REF!</definedName>
    <definedName name="QDATE_BAL10">#REF!</definedName>
    <definedName name="QDATE_BAL11">#REF!</definedName>
    <definedName name="QDATE_BAL12">#REF!</definedName>
    <definedName name="QDATE_BAL13">#REF!</definedName>
    <definedName name="QDATE_DAT26_1">#REF!</definedName>
    <definedName name="QDATE_DAT26_2">#REF!</definedName>
    <definedName name="QDATE_DAT27_1">#REF!</definedName>
    <definedName name="QDATE_DAT27_2">#REF!</definedName>
    <definedName name="QDATE_DAT27_3">#REF!</definedName>
    <definedName name="QDATE_DAT35_1">#REF!</definedName>
    <definedName name="QDATE_DAT56_1">#REF!</definedName>
    <definedName name="QDATE_DAT76_1">#REF!</definedName>
    <definedName name="QDATE_EUR01">#REF!</definedName>
    <definedName name="QDATE_EUR02">#REF!</definedName>
    <definedName name="QDATE_EUR03">#REF!</definedName>
    <definedName name="QDATE_EUR04">#REF!</definedName>
    <definedName name="QDATE_EUR05">#REF!</definedName>
    <definedName name="QDATE_EUR06">#REF!</definedName>
    <definedName name="QDATE_EUR07">#REF!</definedName>
    <definedName name="QDATE_EUR08">#REF!</definedName>
    <definedName name="QDATE_EUR09">#REF!</definedName>
    <definedName name="QDATE_EUR10">#REF!</definedName>
    <definedName name="QDATE_EUR11">#REF!</definedName>
    <definedName name="QDATE_EUR12">#REF!</definedName>
    <definedName name="QDATE_EUR13">#REF!</definedName>
    <definedName name="QDATE_HEAD08">#REF!</definedName>
    <definedName name="QDATE_KURS_EUR_01">#REF!</definedName>
    <definedName name="QDATE_KURS_EUR_02">#REF!</definedName>
    <definedName name="QDATE_KURS_EUR_03">#REF!</definedName>
    <definedName name="QDATE_KURS_EUR_04">#REF!</definedName>
    <definedName name="QDATE_KURS_EUR_05">#REF!</definedName>
    <definedName name="QDATE_KURS_EUR_06">#REF!</definedName>
    <definedName name="QDATE_KURS_EUR_07">#REF!</definedName>
    <definedName name="QDATE_KURS_EUR_08">#REF!</definedName>
    <definedName name="QDATE_KURS_EUR_09">#REF!</definedName>
    <definedName name="QDATE_KURS_EUR_10">#REF!</definedName>
    <definedName name="QDATE_KURS_EUR_11">#REF!</definedName>
    <definedName name="QDATE_KURS_EUR_12">#REF!</definedName>
    <definedName name="QDATE_KURS_EUR_13">#REF!</definedName>
    <definedName name="QDATE_KURS_USD_01">#REF!</definedName>
    <definedName name="QDATE_KURS_USD_02">#REF!</definedName>
    <definedName name="QDATE_KURS_USD_03">#REF!</definedName>
    <definedName name="QDATE_KURS_USD_04">#REF!</definedName>
    <definedName name="QDATE_KURS_USD_05">#REF!</definedName>
    <definedName name="QDATE_KURS_USD_06">#REF!</definedName>
    <definedName name="QDATE_KURS_USD_07">#REF!</definedName>
    <definedName name="QDATE_KURS_USD_08">#REF!</definedName>
    <definedName name="QDATE_KURS_USD_09">#REF!</definedName>
    <definedName name="QDATE_KURS_USD_10">#REF!</definedName>
    <definedName name="QDATE_KURS_USD_11">#REF!</definedName>
    <definedName name="QDATE_KURS_USD_12">#REF!</definedName>
    <definedName name="QDATE_KURS_USD_13">#REF!</definedName>
    <definedName name="QDATE_MES">#REF!</definedName>
    <definedName name="QDATE_QUARTAL">#REF!</definedName>
    <definedName name="QDATE_RDATE">#REF!</definedName>
    <definedName name="QDATE_REPDATE">#REF!</definedName>
    <definedName name="QDATE_USD01">#REF!</definedName>
    <definedName name="QDATE_USD02">#REF!</definedName>
    <definedName name="QDATE_USD03">#REF!</definedName>
    <definedName name="QDATE_USD04">#REF!</definedName>
    <definedName name="QDATE_USD05">#REF!</definedName>
    <definedName name="QDATE_USD06">#REF!</definedName>
    <definedName name="QDATE_USD07">#REF!</definedName>
    <definedName name="QDATE_USD08">#REF!</definedName>
    <definedName name="QDATE_USD09">#REF!</definedName>
    <definedName name="QDATE_USD10">#REF!</definedName>
    <definedName name="QDATE_USD11">#REF!</definedName>
    <definedName name="QDATE_USD12">#REF!</definedName>
    <definedName name="QDATE_USD13">#REF!</definedName>
    <definedName name="QDOP_ADRES_NAME" hidden="1">#NAME?</definedName>
    <definedName name="QDOP_DDATE" hidden="1">#NAME?</definedName>
    <definedName name="QDOP_FIO_A" hidden="1">#NAME?</definedName>
    <definedName name="QDOP_FIO_B" hidden="1">#NAME?</definedName>
    <definedName name="QDOP_INN_CODE" hidden="1">#NAME?</definedName>
    <definedName name="QDOP_ISP_DATA" hidden="1">#NAME?</definedName>
    <definedName name="QDOP_MDATE" hidden="1">#NAME?</definedName>
    <definedName name="QDOP_MEMBER_NAME" hidden="1">#NAME?</definedName>
    <definedName name="QDOP_OKOPF_CODE" hidden="1">#NAME?</definedName>
    <definedName name="QDOP_OKPO_CODE" hidden="1">#NAME?</definedName>
    <definedName name="QDOP_OKVED_CODE" hidden="1">#NAME?</definedName>
    <definedName name="QDOP_OKVED_NAME" hidden="1">#NAME?</definedName>
    <definedName name="QDOP_OPF_NAME" hidden="1">#NAME?</definedName>
    <definedName name="QDOP_RDATE" localSheetId="2" hidden="1">#REF!</definedName>
    <definedName name="QDOP_RDATE">#REF!</definedName>
    <definedName name="QDOP_RDATE_SH">#REF!</definedName>
    <definedName name="QDOP_REPORT_DATE" hidden="1">#NAME?</definedName>
    <definedName name="QDOP_SIGNED" hidden="1">#NAME?</definedName>
    <definedName name="QDOP_STUFF_A" hidden="1">#NAME?</definedName>
    <definedName name="QDOP_STUFF_B" hidden="1">#NAME?</definedName>
    <definedName name="QDOP_YDATE" hidden="1">#NAME?</definedName>
    <definedName name="qe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qe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qer" localSheetId="2" hidden="1">{"mgmt forecast",#N/A,FALSE,"Mgmt Forecast";"dcf table",#N/A,FALSE,"Mgmt Forecast";"sensitivity",#N/A,FALSE,"Mgmt Forecast";"table inputs",#N/A,FALSE,"Mgmt Forecast";"calculations",#N/A,FALSE,"Mgmt Forecast"}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NORM_SB_BS_50106">#REF!</definedName>
    <definedName name="QNORM_SB_BS_50107">#REF!</definedName>
    <definedName name="QNORM_SB_BS_50108">#REF!</definedName>
    <definedName name="QNORM_SB_BS_50109">#REF!</definedName>
    <definedName name="QNORM_SB_BS_50110">#REF!</definedName>
    <definedName name="QNORM_SB_BS_50118_06">#REF!</definedName>
    <definedName name="QNORM_SB_BS_50118_07">#REF!</definedName>
    <definedName name="QNORM_SB_BS_50118_08">#REF!</definedName>
    <definedName name="QNORM_SB_BS_50118_09">#REF!</definedName>
    <definedName name="QNORM_SB_BS_50118_10">#REF!</definedName>
    <definedName name="QNORM_SB_BS_50118_12">#REF!</definedName>
    <definedName name="QNORM_SB_BS_50207">#REF!</definedName>
    <definedName name="QNORM_SB_BS_50208">#REF!</definedName>
    <definedName name="QNORM_SB_BS_50209">#REF!</definedName>
    <definedName name="QNORM_SB_BS_50210_01">#REF!</definedName>
    <definedName name="QNORM_SB_BS_50210_02">#REF!</definedName>
    <definedName name="QNORM_SB_BS_50211">#REF!</definedName>
    <definedName name="QNORM_SB_BS_50218_06">#REF!</definedName>
    <definedName name="QNORM_SB_BS_50218_07">#REF!</definedName>
    <definedName name="QNORM_SB_BS_50218_08">#REF!</definedName>
    <definedName name="QNORM_SB_BS_50218_09">#REF!</definedName>
    <definedName name="QNORM_SB_BS_50218_10">#REF!</definedName>
    <definedName name="QNORM_SB_BS_50218_12">#REF!</definedName>
    <definedName name="QNORM_SB_BS_50218_14">#REF!</definedName>
    <definedName name="QNORM_SB_BS_50219_06">#REF!</definedName>
    <definedName name="QNORM_SB_BS_50219_07">#REF!</definedName>
    <definedName name="QNORM_SB_BS_50219_08">#REF!</definedName>
    <definedName name="QNORM_SB_BS_50219_09">#REF!</definedName>
    <definedName name="QNORM_SB_BS_50219_10">#REF!</definedName>
    <definedName name="QNORM_SB_BS_50219_12">#REF!</definedName>
    <definedName name="QNORM_SB_BS_50219_13">#REF!</definedName>
    <definedName name="QNORM_SB_BS_50308">#REF!</definedName>
    <definedName name="QNORM_SB_BS_50309">#REF!</definedName>
    <definedName name="QNORM_SB_BS_50310_02">#REF!</definedName>
    <definedName name="QNORM_SB_BS_50311">#REF!</definedName>
    <definedName name="QNORM_SB_BS_50318_05">#REF!</definedName>
    <definedName name="QNORM_SB_BS_50318_06">#REF!</definedName>
    <definedName name="QNORM_SB_BS_50318_07">#REF!</definedName>
    <definedName name="QNORM_SB_BS_50318_08">#REF!</definedName>
    <definedName name="QNORM_SB_BS_50319_05">#REF!</definedName>
    <definedName name="QNORM_SB_BS_50319_06">#REF!</definedName>
    <definedName name="QNORM_SB_BS_50319_07">#REF!</definedName>
    <definedName name="QNORM_SB_BS_50319_08">#REF!</definedName>
    <definedName name="QNORM_SB_BS_50319_10">#REF!</definedName>
    <definedName name="QNORM_SB_BS_50407_19">#REF!</definedName>
    <definedName name="QNORM_SB_BS_50407_23">#REF!</definedName>
    <definedName name="QNORM_SB_BS_50407_24">#REF!</definedName>
    <definedName name="QNORM_SB_BS_50407_25">#REF!</definedName>
    <definedName name="QNORM_SB_BS_50407_26">#REF!</definedName>
    <definedName name="QNORM_SB_BS_50407_27">#REF!</definedName>
    <definedName name="QNORM_SB_BS_50407_28">#REF!</definedName>
    <definedName name="QNORM_SB_BS_50407_31">#REF!</definedName>
    <definedName name="QNORM_SB_BS_50407_32">#REF!</definedName>
    <definedName name="QNORM_SB_BS_50407_35">#REF!</definedName>
    <definedName name="QNORM_SB_BS_50407_39">#REF!</definedName>
    <definedName name="QNORM_SB_BS_50407_40">#REF!</definedName>
    <definedName name="QNORM_SB_BS_50407_45">#REF!</definedName>
    <definedName name="QNORM_SB_BS_50505_06">#REF!</definedName>
    <definedName name="QNORM_SB_BS_50505_07">#REF!</definedName>
    <definedName name="QNORM_SB_BS_50505_08">#REF!</definedName>
    <definedName name="QNORM_SB_BS_50505_09">#REF!</definedName>
    <definedName name="QNORM_SB_BS_50505_10">#REF!</definedName>
    <definedName name="QNORM_SB_BS_50505_12">#REF!</definedName>
    <definedName name="QNORM_SB_BS_50507_06">#REF!</definedName>
    <definedName name="QNORM_SB_BS_50507_07">#REF!</definedName>
    <definedName name="QNORM_SB_BS_50507_08">#REF!</definedName>
    <definedName name="QNORM_SB_BS_50507_09">#REF!</definedName>
    <definedName name="QNORM_SB_BS_50507_10">#REF!</definedName>
    <definedName name="QNORM_SB_BS_50507_12">#REF!</definedName>
    <definedName name="QNORM_SB_BS_50507_13">#REF!</definedName>
    <definedName name="QNORM_SB_BS_50605">#REF!</definedName>
    <definedName name="QNORM_SB_BS_50606">#REF!</definedName>
    <definedName name="QNORM_SB_BS_50607">#REF!</definedName>
    <definedName name="QNORM_SB_BS_50608">#REF!</definedName>
    <definedName name="QNORM_SB_BS_50618">#REF!</definedName>
    <definedName name="QNORM_SB_BS_50705">#REF!</definedName>
    <definedName name="QNORM_SB_BS_50706">#REF!</definedName>
    <definedName name="QNORM_SB_BS_50707">#REF!</definedName>
    <definedName name="QNORM_SB_BS_50708">#REF!</definedName>
    <definedName name="QNORM_SB_BS_50718">#REF!</definedName>
    <definedName name="QNORM_SB_BS_50719">#REF!</definedName>
    <definedName name="QoM">#REF!</definedName>
    <definedName name="qq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q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qqq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qqqqq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qqw" localSheetId="2" hidden="1">{#N/A,#N/A,FALSE,"Comps";#N/A,#N/A,FALSE,"Finantials NL";#N/A,#N/A,FALSE,"Exit NL (2)";#N/A,#N/A,FALSE,"Finantials ZapSib ";#N/A,#N/A,FALSE,"Exit ZS (2)"}</definedName>
    <definedName name="qqw" hidden="1">{#N/A,#N/A,FALSE,"Comps";#N/A,#N/A,FALSE,"Finantials NL";#N/A,#N/A,FALSE,"Exit NL (2)";#N/A,#N/A,FALSE,"Finantials ZapSib ";#N/A,#N/A,FALSE,"Exit ZS (2)"}</definedName>
    <definedName name="qr2_PRED_NAME" hidden="1">#NAME?</definedName>
    <definedName name="qr3_DATEND" hidden="1">#NAME?</definedName>
    <definedName name="qr3_DATSTART" hidden="1">#NAME?</definedName>
    <definedName name="qsfd" localSheetId="2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uarter_Num" localSheetId="2">#REF!</definedName>
    <definedName name="Quarter_Num">#REF!</definedName>
    <definedName name="QuartersInYear">#NAME?</definedName>
    <definedName name="QueHeader_ISP">#REF!</definedName>
    <definedName name="QueHeader_NAMEBR">#REF!</definedName>
    <definedName name="QueHeader_NFORM">#REF!</definedName>
    <definedName name="QueHeader_NPRIL">#REF!</definedName>
    <definedName name="QueHeader_PERIOD">#REF!</definedName>
    <definedName name="QueHeader_RAZM">#REF!</definedName>
    <definedName name="QueHeader_RPIPRINT">#REF!</definedName>
    <definedName name="QueHeader_RPTTPNAME">#REF!</definedName>
    <definedName name="QueHeader_SINACODE">#REF!</definedName>
    <definedName name="QUERY1_F7_12_STR_1_1_3">#REF!</definedName>
    <definedName name="QUERY1_F7_12_STR_1_1_4">#REF!</definedName>
    <definedName name="QUERY1_F7_12_STR_1_10_11">#REF!</definedName>
    <definedName name="QUERY1_F7_12_STR_1_10_3">#REF!</definedName>
    <definedName name="QUERY1_F7_12_STR_1_11_3">#REF!</definedName>
    <definedName name="QUERY1_F7_12_STR_1_11_5">#REF!</definedName>
    <definedName name="QUERY1_F7_12_STR_1_11_6">#REF!</definedName>
    <definedName name="QUERY1_F7_12_STR_1_11_7">#REF!</definedName>
    <definedName name="QUERY1_F7_12_STR_1_11_8">#REF!</definedName>
    <definedName name="QUERY1_F7_12_STR_1_12_10">#REF!</definedName>
    <definedName name="QUERY1_F7_12_STR_1_12_3">#REF!</definedName>
    <definedName name="QUERY1_F7_12_STR_1_12_4">#REF!</definedName>
    <definedName name="QUERY1_F7_12_STR_1_12_5">#REF!</definedName>
    <definedName name="QUERY1_F7_12_STR_1_12_6">#REF!</definedName>
    <definedName name="QUERY1_F7_12_STR_1_12_7">#REF!</definedName>
    <definedName name="QUERY1_F7_12_STR_1_12_8">#REF!</definedName>
    <definedName name="QUERY1_F7_12_STR_1_12_9">#REF!</definedName>
    <definedName name="QUERY1_F7_12_STR_1_13_11">#REF!</definedName>
    <definedName name="QUERY1_F7_12_STR_1_13_3">#REF!</definedName>
    <definedName name="QUERY1_F7_12_STR_1_14_11">#REF!</definedName>
    <definedName name="QUERY1_F7_12_STR_1_14_3">#REF!</definedName>
    <definedName name="QUERY1_F7_12_STR_1_15_11">#REF!</definedName>
    <definedName name="QUERY1_F7_12_STR_1_15_3">#REF!</definedName>
    <definedName name="QUERY1_F7_12_STR_1_16_11">#REF!</definedName>
    <definedName name="QUERY1_F7_12_STR_1_16_3">#REF!</definedName>
    <definedName name="QUERY1_F7_12_STR_1_17_11">#REF!</definedName>
    <definedName name="QUERY1_F7_12_STR_1_17_3">#REF!</definedName>
    <definedName name="QUERY1_F7_12_STR_1_2_3">#REF!</definedName>
    <definedName name="QUERY1_F7_12_STR_1_2_4">#REF!</definedName>
    <definedName name="QUERY1_F7_12_STR_1_3_3">#REF!</definedName>
    <definedName name="QUERY1_F7_12_STR_1_3_5">#REF!</definedName>
    <definedName name="QUERY1_F7_12_STR_1_3_6">#REF!</definedName>
    <definedName name="QUERY1_F7_12_STR_1_3_7">#REF!</definedName>
    <definedName name="QUERY1_F7_12_STR_1_3_8">#REF!</definedName>
    <definedName name="QUERY1_F7_12_STR_1_4_3">#REF!</definedName>
    <definedName name="QUERY1_F7_12_STR_1_4_4">#REF!</definedName>
    <definedName name="QUERY1_F7_12_STR_1_4_5">#REF!</definedName>
    <definedName name="QUERY1_F7_12_STR_1_4_6">#REF!</definedName>
    <definedName name="QUERY1_F7_12_STR_1_4_7">#REF!</definedName>
    <definedName name="QUERY1_F7_12_STR_1_4_8">#REF!</definedName>
    <definedName name="QUERY1_F7_12_STR_1_4_9">#REF!</definedName>
    <definedName name="QUERY1_F7_12_STR_1_5_10">#REF!</definedName>
    <definedName name="QUERY1_F7_12_STR_1_5_3">#REF!</definedName>
    <definedName name="QUERY1_F7_12_STR_1_5_4">#REF!</definedName>
    <definedName name="QUERY1_F7_12_STR_1_5_5">#REF!</definedName>
    <definedName name="QUERY1_F7_12_STR_1_5_6">#REF!</definedName>
    <definedName name="QUERY1_F7_12_STR_1_5_7">#REF!</definedName>
    <definedName name="QUERY1_F7_12_STR_1_5_8">#REF!</definedName>
    <definedName name="QUERY1_F7_12_STR_1_5_9">#REF!</definedName>
    <definedName name="QUERY1_F7_12_STR_1_6_3">#REF!</definedName>
    <definedName name="QUERY1_F7_12_STR_1_6_5">#REF!</definedName>
    <definedName name="QUERY1_F7_12_STR_1_6_6">#REF!</definedName>
    <definedName name="QUERY1_F7_12_STR_1_6_7">#REF!</definedName>
    <definedName name="QUERY1_F7_12_STR_1_6_8">#REF!</definedName>
    <definedName name="QUERY1_F7_12_STR_1_7_3">#REF!</definedName>
    <definedName name="QUERY1_F7_12_STR_1_7_5">#REF!</definedName>
    <definedName name="QUERY1_F7_12_STR_1_7_6">#REF!</definedName>
    <definedName name="QUERY1_F7_12_STR_1_8_11">#REF!</definedName>
    <definedName name="QUERY1_F7_12_STR_1_8_3">#REF!</definedName>
    <definedName name="QUERY1_F7_12_STR_1_9_3">#REF!</definedName>
    <definedName name="QUERY1_F7_12_STR_1_9_5">#REF!</definedName>
    <definedName name="QUERY1_F7_12_STR_1_9_6">#REF!</definedName>
    <definedName name="QUERY1_F7_12_STR_1_9_7">#REF!</definedName>
    <definedName name="QUERY1_F7_12_STR_1_9_8">#REF!</definedName>
    <definedName name="QUERY1_F7_12_STR_3_11">#REF!</definedName>
    <definedName name="QUERY1_F7_12_STR_3_3">#REF!</definedName>
    <definedName name="QUERY17_F7_12_STR_1_1_3">#REF!</definedName>
    <definedName name="QUERY17_F7_12_STR_1_1_4">#REF!</definedName>
    <definedName name="QUERY17_F7_12_STR_1_10_11">#REF!</definedName>
    <definedName name="QUERY17_F7_12_STR_1_10_3">#REF!</definedName>
    <definedName name="QUERY17_F7_12_STR_1_11_3">#REF!</definedName>
    <definedName name="QUERY17_F7_12_STR_1_11_5">#REF!</definedName>
    <definedName name="QUERY17_F7_12_STR_1_11_6">#REF!</definedName>
    <definedName name="QUERY17_F7_12_STR_1_11_7">#REF!</definedName>
    <definedName name="QUERY17_F7_12_STR_1_11_8">#REF!</definedName>
    <definedName name="QUERY17_F7_12_STR_1_12_10">#REF!</definedName>
    <definedName name="QUERY17_F7_12_STR_1_12_3">#REF!</definedName>
    <definedName name="QUERY17_F7_12_STR_1_12_4">#REF!</definedName>
    <definedName name="QUERY17_F7_12_STR_1_12_5">#REF!</definedName>
    <definedName name="QUERY17_F7_12_STR_1_12_6">#REF!</definedName>
    <definedName name="QUERY17_F7_12_STR_1_12_7">#REF!</definedName>
    <definedName name="QUERY17_F7_12_STR_1_12_8">#REF!</definedName>
    <definedName name="QUERY17_F7_12_STR_1_12_9">#REF!</definedName>
    <definedName name="QUERY17_F7_12_STR_1_13_11">#REF!</definedName>
    <definedName name="QUERY17_F7_12_STR_1_13_3">#REF!</definedName>
    <definedName name="QUERY17_F7_12_STR_1_14_11">#REF!</definedName>
    <definedName name="QUERY17_F7_12_STR_1_14_3">#REF!</definedName>
    <definedName name="QUERY17_F7_12_STR_1_15_11">#REF!</definedName>
    <definedName name="QUERY17_F7_12_STR_1_15_3">#REF!</definedName>
    <definedName name="QUERY17_F7_12_STR_1_16_11">#REF!</definedName>
    <definedName name="QUERY17_F7_12_STR_1_16_3">#REF!</definedName>
    <definedName name="QUERY17_F7_12_STR_1_17_11">#REF!</definedName>
    <definedName name="QUERY17_F7_12_STR_1_17_3">#REF!</definedName>
    <definedName name="QUERY17_F7_12_STR_1_2_3">#REF!</definedName>
    <definedName name="QUERY17_F7_12_STR_1_2_4">#REF!</definedName>
    <definedName name="QUERY17_F7_12_STR_1_3_3">#REF!</definedName>
    <definedName name="QUERY17_F7_12_STR_1_3_5">#REF!</definedName>
    <definedName name="QUERY17_F7_12_STR_1_3_6">#REF!</definedName>
    <definedName name="QUERY17_F7_12_STR_1_3_7">#REF!</definedName>
    <definedName name="QUERY17_F7_12_STR_1_3_8">#REF!</definedName>
    <definedName name="QUERY17_F7_12_STR_1_4_3">#REF!</definedName>
    <definedName name="QUERY17_F7_12_STR_1_4_4">#REF!</definedName>
    <definedName name="QUERY17_F7_12_STR_1_4_5">#REF!</definedName>
    <definedName name="QUERY17_F7_12_STR_1_4_6">#REF!</definedName>
    <definedName name="QUERY17_F7_12_STR_1_4_7">#REF!</definedName>
    <definedName name="QUERY17_F7_12_STR_1_4_8">#REF!</definedName>
    <definedName name="QUERY17_F7_12_STR_1_4_9">#REF!</definedName>
    <definedName name="QUERY17_F7_12_STR_1_5_10">#REF!</definedName>
    <definedName name="QUERY17_F7_12_STR_1_5_3">#REF!</definedName>
    <definedName name="QUERY17_F7_12_STR_1_5_4">#REF!</definedName>
    <definedName name="QUERY17_F7_12_STR_1_5_5">#REF!</definedName>
    <definedName name="QUERY17_F7_12_STR_1_5_6">#REF!</definedName>
    <definedName name="QUERY17_F7_12_STR_1_5_7">#REF!</definedName>
    <definedName name="QUERY17_F7_12_STR_1_5_8">#REF!</definedName>
    <definedName name="QUERY17_F7_12_STR_1_5_9">#REF!</definedName>
    <definedName name="QUERY17_F7_12_STR_1_6_3">#REF!</definedName>
    <definedName name="QUERY17_F7_12_STR_1_6_5">#REF!</definedName>
    <definedName name="QUERY17_F7_12_STR_1_6_6">#REF!</definedName>
    <definedName name="QUERY17_F7_12_STR_1_6_7">#REF!</definedName>
    <definedName name="QUERY17_F7_12_STR_1_6_8">#REF!</definedName>
    <definedName name="QUERY17_F7_12_STR_1_7_3">#REF!</definedName>
    <definedName name="QUERY17_F7_12_STR_1_7_5">#REF!</definedName>
    <definedName name="QUERY17_F7_12_STR_1_7_6">#REF!</definedName>
    <definedName name="QUERY17_F7_12_STR_1_8_11">#REF!</definedName>
    <definedName name="QUERY17_F7_12_STR_1_8_3">#REF!</definedName>
    <definedName name="QUERY17_F7_12_STR_1_9_3">#REF!</definedName>
    <definedName name="QUERY17_F7_12_STR_1_9_5">#REF!</definedName>
    <definedName name="QUERY17_F7_12_STR_1_9_6">#REF!</definedName>
    <definedName name="QUERY17_F7_12_STR_1_9_7">#REF!</definedName>
    <definedName name="QUERY17_F7_12_STR_1_9_8">#REF!</definedName>
    <definedName name="QUERY17_F7_12_STR_3_11">#REF!</definedName>
    <definedName name="QUERY17_F7_12_STR_3_3">#REF!</definedName>
    <definedName name="QUERY2_F7_12_STR_1_1_3">#REF!</definedName>
    <definedName name="QUERY2_F7_12_STR_1_1_4">#REF!</definedName>
    <definedName name="QUERY2_F7_12_STR_1_10_11">#REF!</definedName>
    <definedName name="QUERY2_F7_12_STR_1_10_3">#REF!</definedName>
    <definedName name="QUERY2_F7_12_STR_1_11_3">#REF!</definedName>
    <definedName name="QUERY2_F7_12_STR_1_11_5">#REF!</definedName>
    <definedName name="QUERY2_F7_12_STR_1_11_6">#REF!</definedName>
    <definedName name="QUERY2_F7_12_STR_1_11_7">#REF!</definedName>
    <definedName name="QUERY2_F7_12_STR_1_11_8">#REF!</definedName>
    <definedName name="QUERY2_F7_12_STR_1_12_10">#REF!</definedName>
    <definedName name="QUERY2_F7_12_STR_1_12_3">#REF!</definedName>
    <definedName name="QUERY2_F7_12_STR_1_12_4">#REF!</definedName>
    <definedName name="QUERY2_F7_12_STR_1_12_5">#REF!</definedName>
    <definedName name="QUERY2_F7_12_STR_1_12_6">#REF!</definedName>
    <definedName name="QUERY2_F7_12_STR_1_12_7">#REF!</definedName>
    <definedName name="QUERY2_F7_12_STR_1_12_8">#REF!</definedName>
    <definedName name="QUERY2_F7_12_STR_1_12_9">#REF!</definedName>
    <definedName name="QUERY2_F7_12_STR_1_13_11">#REF!</definedName>
    <definedName name="QUERY2_F7_12_STR_1_13_3">#REF!</definedName>
    <definedName name="QUERY2_F7_12_STR_1_14_11">#REF!</definedName>
    <definedName name="QUERY2_F7_12_STR_1_14_3">#REF!</definedName>
    <definedName name="QUERY2_F7_12_STR_1_15_11">#REF!</definedName>
    <definedName name="QUERY2_F7_12_STR_1_15_3">#REF!</definedName>
    <definedName name="QUERY2_F7_12_STR_1_16_11">#REF!</definedName>
    <definedName name="QUERY2_F7_12_STR_1_16_3">#REF!</definedName>
    <definedName name="QUERY2_F7_12_STR_1_17_11">#REF!</definedName>
    <definedName name="QUERY2_F7_12_STR_1_17_3">#REF!</definedName>
    <definedName name="QUERY2_F7_12_STR_1_2_3">#REF!</definedName>
    <definedName name="QUERY2_F7_12_STR_1_2_4">#REF!</definedName>
    <definedName name="QUERY2_F7_12_STR_1_3_3">#REF!</definedName>
    <definedName name="QUERY2_F7_12_STR_1_3_5">#REF!</definedName>
    <definedName name="QUERY2_F7_12_STR_1_3_6">#REF!</definedName>
    <definedName name="QUERY2_F7_12_STR_1_3_7">#REF!</definedName>
    <definedName name="QUERY2_F7_12_STR_1_3_8">#REF!</definedName>
    <definedName name="QUERY2_F7_12_STR_1_4_3">#REF!</definedName>
    <definedName name="QUERY2_F7_12_STR_1_4_4">#REF!</definedName>
    <definedName name="QUERY2_F7_12_STR_1_4_5">#REF!</definedName>
    <definedName name="QUERY2_F7_12_STR_1_4_6">#REF!</definedName>
    <definedName name="QUERY2_F7_12_STR_1_4_7">#REF!</definedName>
    <definedName name="QUERY2_F7_12_STR_1_4_8">#REF!</definedName>
    <definedName name="QUERY2_F7_12_STR_1_4_9">#REF!</definedName>
    <definedName name="QUERY2_F7_12_STR_1_5_10">#REF!</definedName>
    <definedName name="QUERY2_F7_12_STR_1_5_3">#REF!</definedName>
    <definedName name="QUERY2_F7_12_STR_1_5_4">#REF!</definedName>
    <definedName name="QUERY2_F7_12_STR_1_5_5">#REF!</definedName>
    <definedName name="QUERY2_F7_12_STR_1_5_6">#REF!</definedName>
    <definedName name="QUERY2_F7_12_STR_1_5_7">#REF!</definedName>
    <definedName name="QUERY2_F7_12_STR_1_5_8">#REF!</definedName>
    <definedName name="QUERY2_F7_12_STR_1_5_9">#REF!</definedName>
    <definedName name="QUERY2_F7_12_STR_1_6_3">#REF!</definedName>
    <definedName name="QUERY2_F7_12_STR_1_6_5">#REF!</definedName>
    <definedName name="QUERY2_F7_12_STR_1_6_6">#REF!</definedName>
    <definedName name="QUERY2_F7_12_STR_1_6_7">#REF!</definedName>
    <definedName name="QUERY2_F7_12_STR_1_6_8">#REF!</definedName>
    <definedName name="QUERY2_F7_12_STR_1_7_3">#REF!</definedName>
    <definedName name="QUERY2_F7_12_STR_1_7_5">#REF!</definedName>
    <definedName name="QUERY2_F7_12_STR_1_7_6">#REF!</definedName>
    <definedName name="QUERY2_F7_12_STR_1_8_11">#REF!</definedName>
    <definedName name="QUERY2_F7_12_STR_1_8_3">#REF!</definedName>
    <definedName name="QUERY2_F7_12_STR_1_9_3">#REF!</definedName>
    <definedName name="QUERY2_F7_12_STR_1_9_5">#REF!</definedName>
    <definedName name="QUERY2_F7_12_STR_1_9_6">#REF!</definedName>
    <definedName name="QUERY2_F7_12_STR_1_9_7">#REF!</definedName>
    <definedName name="QUERY2_F7_12_STR_1_9_8">#REF!</definedName>
    <definedName name="QUERY2_F7_12_STR_3_11">#REF!</definedName>
    <definedName name="QUERY2_F7_12_STR_3_3">#REF!</definedName>
    <definedName name="qw" localSheetId="2" hidden="1">{#N/A,#N/A,FALSE,"Год 99."}</definedName>
    <definedName name="qw" hidden="1">{#N/A,#N/A,FALSE,"Год 99."}</definedName>
    <definedName name="Qwe">#REF!</definedName>
    <definedName name="qwerqew" localSheetId="2" hidden="1">{"mgmt forecast",#N/A,FALSE,"Mgmt Forecast";"dcf table",#N/A,FALSE,"Mgmt Forecast";"sensitivity",#N/A,FALSE,"Mgmt Forecast";"table inputs",#N/A,FALSE,"Mgmt Forecast";"calculations",#N/A,FALSE,"Mgmt Forecast"}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erqwe" localSheetId="2" hidden="1">{"orixcsc",#N/A,FALSE,"ORIX CSC";"orixcsc2",#N/A,FALSE,"ORIX CSC"}</definedName>
    <definedName name="qwerqwerqwe" hidden="1">{"orixcsc",#N/A,FALSE,"ORIX CSC";"orixcsc2",#N/A,FALSE,"ORIX CSC"}</definedName>
    <definedName name="qwert">#REF!</definedName>
    <definedName name="qwesfdsfdv">#REF!</definedName>
    <definedName name="R_29_0" localSheetId="2" hidden="1">#REF!</definedName>
    <definedName name="R_29_0" hidden="1">#REF!</definedName>
    <definedName name="rang1">#REF!</definedName>
    <definedName name="rang10">#REF!</definedName>
    <definedName name="rang11">#REF!</definedName>
    <definedName name="rang12">#REF!</definedName>
    <definedName name="rang13">#REF!</definedName>
    <definedName name="rang14">#REF!</definedName>
    <definedName name="rang15">#REF!</definedName>
    <definedName name="rang16">#REF!</definedName>
    <definedName name="rang17">#REF!</definedName>
    <definedName name="rang18">#REF!</definedName>
    <definedName name="rang19">#REF!</definedName>
    <definedName name="rang2">#REF!</definedName>
    <definedName name="rang20">#REF!</definedName>
    <definedName name="rang21">#REF!</definedName>
    <definedName name="rang22">#REF!</definedName>
    <definedName name="rang23">#REF!</definedName>
    <definedName name="rang24">#REF!</definedName>
    <definedName name="rang25">#REF!</definedName>
    <definedName name="rang26">#REF!</definedName>
    <definedName name="rang27">#REF!</definedName>
    <definedName name="rang28">#REF!</definedName>
    <definedName name="rang29">#REF!</definedName>
    <definedName name="rang3">#REF!</definedName>
    <definedName name="rang30">#REF!</definedName>
    <definedName name="rang31">#REF!</definedName>
    <definedName name="rang32">#REF!</definedName>
    <definedName name="rang33">#REF!</definedName>
    <definedName name="rang34">#REF!</definedName>
    <definedName name="rang34_1">#REF!</definedName>
    <definedName name="rang35">#REF!</definedName>
    <definedName name="rang36">#REF!</definedName>
    <definedName name="rang37">#REF!</definedName>
    <definedName name="rang38">#REF!</definedName>
    <definedName name="rang39">#REF!</definedName>
    <definedName name="rang4">#REF!</definedName>
    <definedName name="rang40">#REF!</definedName>
    <definedName name="rang41">#REF!</definedName>
    <definedName name="rang42">#REF!</definedName>
    <definedName name="rang43">#REF!</definedName>
    <definedName name="rang44">#REF!</definedName>
    <definedName name="rang45">#REF!</definedName>
    <definedName name="rang46">#REF!</definedName>
    <definedName name="rang47">#REF!</definedName>
    <definedName name="rang48">#REF!</definedName>
    <definedName name="rang5">#REF!</definedName>
    <definedName name="rang6">#REF!</definedName>
    <definedName name="rang7">#REF!</definedName>
    <definedName name="rang8">#REF!</definedName>
    <definedName name="rang9">#REF!</definedName>
    <definedName name="RANGE_R6">#REF!</definedName>
    <definedName name="RANGE_R61">#REF!</definedName>
    <definedName name="RANGE_R611">#REF!</definedName>
    <definedName name="RANGE2">#REF!</definedName>
    <definedName name="rangeHighLimit">#REF!</definedName>
    <definedName name="rangeLowLimit">#REF!</definedName>
    <definedName name="RANGEQUERY_DATE_1">#REF!</definedName>
    <definedName name="RANGEQUERY1_F7_30_DEPRUB1001">#REF!</definedName>
    <definedName name="RANGEQUERY1_F7_30_DEPRUB1002">#REF!</definedName>
    <definedName name="RANGEQUERY1_F7_30_DEPRUB1003">#REF!</definedName>
    <definedName name="RANGEQUERY1_F7_30_DEPRUB1004">#REF!</definedName>
    <definedName name="RANGEQUERY1_F7_30_DEPRUB1005">#REF!</definedName>
    <definedName name="RANGEQUERY1_F7_30_DEPRUB1006">#REF!</definedName>
    <definedName name="RANGEQUERY1_F7_30_DEPRUB1007">#REF!</definedName>
    <definedName name="RANGEQUERY1_F7_30_DEPRUB1101">#REF!</definedName>
    <definedName name="RANGEQUERY1_F7_30_DEPRUB1102">#REF!</definedName>
    <definedName name="RANGEQUERY1_F7_30_DEPRUB1103">#REF!</definedName>
    <definedName name="RANGEQUERY1_F7_30_DEPRUB1104">#REF!</definedName>
    <definedName name="RANGEQUERY1_F7_30_DEPRUB1105">#REF!</definedName>
    <definedName name="RANGEQUERY1_F7_30_DEPRUB1106">#REF!</definedName>
    <definedName name="RANGEQUERY1_F7_30_DEPRUB1107">#REF!</definedName>
    <definedName name="RANGEQUERY1_F7_30_DEPRUB1201">#REF!</definedName>
    <definedName name="RANGEQUERY1_F7_30_DEPRUB1202">#REF!</definedName>
    <definedName name="RANGEQUERY1_F7_30_DEPRUB1203">#REF!</definedName>
    <definedName name="RANGEQUERY1_F7_30_DEPRUB1204">#REF!</definedName>
    <definedName name="RANGEQUERY1_F7_30_DEPRUB1205">#REF!</definedName>
    <definedName name="RANGEQUERY1_F7_30_DEPRUB1206">#REF!</definedName>
    <definedName name="RANGEQUERY1_F7_30_DEPRUB1207">#REF!</definedName>
    <definedName name="RANGEQUERY1_F7_30_DEPRUB1301">#REF!</definedName>
    <definedName name="RANGEQUERY1_F7_30_DEPRUB1302">#REF!</definedName>
    <definedName name="RANGEQUERY1_F7_30_DEPRUB1303">#REF!</definedName>
    <definedName name="RANGEQUERY1_F7_30_DEPRUB1304">#REF!</definedName>
    <definedName name="RANGEQUERY1_F7_30_DEPRUB1305">#REF!</definedName>
    <definedName name="RANGEQUERY1_F7_30_DEPRUB1306">#REF!</definedName>
    <definedName name="RANGEQUERY1_F7_30_DEPRUB1307">#REF!</definedName>
    <definedName name="RANGEQUERY1_F7_30_DEPRUB1401">#REF!</definedName>
    <definedName name="RANGEQUERY1_F7_30_DEPRUB1402">#REF!</definedName>
    <definedName name="RANGEQUERY1_F7_30_DEPRUB1403">#REF!</definedName>
    <definedName name="RANGEQUERY1_F7_30_DEPRUB1404">#REF!</definedName>
    <definedName name="RANGEQUERY1_F7_30_DEPRUB1405">#REF!</definedName>
    <definedName name="RANGEQUERY1_F7_30_DEPRUB1406">#REF!</definedName>
    <definedName name="RANGEQUERY1_F7_30_DEPRUB1407">#REF!</definedName>
    <definedName name="RANGEQUERY1_F7_30_DEPRUB1501">#REF!</definedName>
    <definedName name="RANGEQUERY1_F7_30_DEPRUB1502">#REF!</definedName>
    <definedName name="RANGEQUERY1_F7_30_DEPRUB1503">#REF!</definedName>
    <definedName name="RANGEQUERY1_F7_30_DEPRUB1504">#REF!</definedName>
    <definedName name="RANGEQUERY1_F7_30_DEPRUB1505">#REF!</definedName>
    <definedName name="RANGEQUERY1_F7_30_DEPRUB1506">#REF!</definedName>
    <definedName name="RANGEQUERY1_F7_30_DEPRUB1507">#REF!</definedName>
    <definedName name="RANGEQUERY1_F7_30_DEPRUB1601">#REF!</definedName>
    <definedName name="RANGEQUERY1_F7_30_DEPRUB1602">#REF!</definedName>
    <definedName name="RANGEQUERY1_F7_30_DEPRUB1603">#REF!</definedName>
    <definedName name="RANGEQUERY1_F7_30_DEPRUB1604">#REF!</definedName>
    <definedName name="RANGEQUERY1_F7_30_DEPRUB1605">#REF!</definedName>
    <definedName name="RANGEQUERY1_F7_30_DEPRUB1606">#REF!</definedName>
    <definedName name="RANGEQUERY1_F7_30_DEPRUB1607">#REF!</definedName>
    <definedName name="RANGEQUERY1_F7_30_DEPRUB1701">#REF!</definedName>
    <definedName name="RANGEQUERY1_F7_30_DEPRUB1702">#REF!</definedName>
    <definedName name="RANGEQUERY1_F7_30_DEPRUB1703">#REF!</definedName>
    <definedName name="RANGEQUERY1_F7_30_DEPRUB1704">#REF!</definedName>
    <definedName name="RANGEQUERY1_F7_30_DEPRUB1705">#REF!</definedName>
    <definedName name="RANGEQUERY1_F7_30_DEPRUB1706">#REF!</definedName>
    <definedName name="RANGEQUERY1_F7_30_DEPRUB1707">#REF!</definedName>
    <definedName name="RANGEQUERY1_F7_30_DEPRUB201">#REF!</definedName>
    <definedName name="RANGEQUERY1_F7_30_DEPRUB202">#REF!</definedName>
    <definedName name="RANGEQUERY1_F7_30_DEPRUB203">#REF!</definedName>
    <definedName name="RANGEQUERY1_F7_30_DEPRUB204">#REF!</definedName>
    <definedName name="RANGEQUERY1_F7_30_DEPRUB205">#REF!</definedName>
    <definedName name="RANGEQUERY1_F7_30_DEPRUB206">#REF!</definedName>
    <definedName name="RANGEQUERY1_F7_30_DEPRUB207">#REF!</definedName>
    <definedName name="RANGEQUERY1_F7_30_DEPRUB301">#REF!</definedName>
    <definedName name="RANGEQUERY1_F7_30_DEPRUB302">#REF!</definedName>
    <definedName name="RANGEQUERY1_F7_30_DEPRUB303">#REF!</definedName>
    <definedName name="RANGEQUERY1_F7_30_DEPRUB304">#REF!</definedName>
    <definedName name="RANGEQUERY1_F7_30_DEPRUB305">#REF!</definedName>
    <definedName name="RANGEQUERY1_F7_30_DEPRUB306">#REF!</definedName>
    <definedName name="RANGEQUERY1_F7_30_DEPRUB307">#REF!</definedName>
    <definedName name="RANGEQUERY1_F7_30_DEPRUB401">#REF!</definedName>
    <definedName name="RANGEQUERY1_F7_30_DEPRUB402">#REF!</definedName>
    <definedName name="RANGEQUERY1_F7_30_DEPRUB403">#REF!</definedName>
    <definedName name="RANGEQUERY1_F7_30_DEPRUB404">#REF!</definedName>
    <definedName name="RANGEQUERY1_F7_30_DEPRUB405">#REF!</definedName>
    <definedName name="RANGEQUERY1_F7_30_DEPRUB406">#REF!</definedName>
    <definedName name="RANGEQUERY1_F7_30_DEPRUB407">#REF!</definedName>
    <definedName name="RANGEQUERY1_F7_30_DEPRUB501">#REF!</definedName>
    <definedName name="RANGEQUERY1_F7_30_DEPRUB502">#REF!</definedName>
    <definedName name="RANGEQUERY1_F7_30_DEPRUB503">#REF!</definedName>
    <definedName name="RANGEQUERY1_F7_30_DEPRUB504">#REF!</definedName>
    <definedName name="RANGEQUERY1_F7_30_DEPRUB505">#REF!</definedName>
    <definedName name="RANGEQUERY1_F7_30_DEPRUB506">#REF!</definedName>
    <definedName name="RANGEQUERY1_F7_30_DEPRUB507">#REF!</definedName>
    <definedName name="RANGEQUERY1_F7_30_DEPRUB601">#REF!</definedName>
    <definedName name="RANGEQUERY1_F7_30_DEPRUB602">#REF!</definedName>
    <definedName name="RANGEQUERY1_F7_30_DEPRUB603">#REF!</definedName>
    <definedName name="RANGEQUERY1_F7_30_DEPRUB604">#REF!</definedName>
    <definedName name="RANGEQUERY1_F7_30_DEPRUB605">#REF!</definedName>
    <definedName name="RANGEQUERY1_F7_30_DEPRUB606">#REF!</definedName>
    <definedName name="RANGEQUERY1_F7_30_DEPRUB607">#REF!</definedName>
    <definedName name="RANGEQUERY1_F7_30_DEPRUB701">#REF!</definedName>
    <definedName name="RANGEQUERY1_F7_30_DEPRUB702">#REF!</definedName>
    <definedName name="RANGEQUERY1_F7_30_DEPRUB703">#REF!</definedName>
    <definedName name="RANGEQUERY1_F7_30_DEPRUB704">#REF!</definedName>
    <definedName name="RANGEQUERY1_F7_30_DEPRUB705">#REF!</definedName>
    <definedName name="RANGEQUERY1_F7_30_DEPRUB706">#REF!</definedName>
    <definedName name="RANGEQUERY1_F7_30_DEPRUB707">#REF!</definedName>
    <definedName name="RANGEQUERY1_F7_30_DEPRUB801">#REF!</definedName>
    <definedName name="RANGEQUERY1_F7_30_DEPRUB802">#REF!</definedName>
    <definedName name="RANGEQUERY1_F7_30_DEPRUB803">#REF!</definedName>
    <definedName name="RANGEQUERY1_F7_30_DEPRUB804">#REF!</definedName>
    <definedName name="RANGEQUERY1_F7_30_DEPRUB805">#REF!</definedName>
    <definedName name="RANGEQUERY1_F7_30_DEPRUB806">#REF!</definedName>
    <definedName name="RANGEQUERY1_F7_30_DEPRUB807">#REF!</definedName>
    <definedName name="RANGEQUERY1_F7_30_DEPRUB901">#REF!</definedName>
    <definedName name="RANGEQUERY1_F7_30_DEPRUB902">#REF!</definedName>
    <definedName name="RANGEQUERY1_F7_30_DEPRUB903">#REF!</definedName>
    <definedName name="RANGEQUERY1_F7_30_DEPRUB904">#REF!</definedName>
    <definedName name="RANGEQUERY1_F7_30_DEPRUB905">#REF!</definedName>
    <definedName name="RANGEQUERY1_F7_30_DEPRUB906">#REF!</definedName>
    <definedName name="RANGEQUERY1_F7_30_DEPRUB907">#REF!</definedName>
    <definedName name="RANGEQUERY1_F7_30_DEPVAL1001">#REF!</definedName>
    <definedName name="RANGEQUERY1_F7_30_DEPVAL1002">#REF!</definedName>
    <definedName name="RANGEQUERY1_F7_30_DEPVAL1003">#REF!</definedName>
    <definedName name="RANGEQUERY1_F7_30_DEPVAL1004">#REF!</definedName>
    <definedName name="RANGEQUERY1_F7_30_DEPVAL1005">#REF!</definedName>
    <definedName name="RANGEQUERY1_F7_30_DEPVAL1006">#REF!</definedName>
    <definedName name="RANGEQUERY1_F7_30_DEPVAL1007">#REF!</definedName>
    <definedName name="RANGEQUERY1_F7_30_DEPVAL1101">#REF!</definedName>
    <definedName name="RANGEQUERY1_F7_30_DEPVAL1102">#REF!</definedName>
    <definedName name="RANGEQUERY1_F7_30_DEPVAL1103">#REF!</definedName>
    <definedName name="RANGEQUERY1_F7_30_DEPVAL1104">#REF!</definedName>
    <definedName name="RANGEQUERY1_F7_30_DEPVAL1105">#REF!</definedName>
    <definedName name="RANGEQUERY1_F7_30_DEPVAL1106">#REF!</definedName>
    <definedName name="RANGEQUERY1_F7_30_DEPVAL1107">#REF!</definedName>
    <definedName name="RANGEQUERY1_F7_30_DEPVAL1201">#REF!</definedName>
    <definedName name="RANGEQUERY1_F7_30_DEPVAL1202">#REF!</definedName>
    <definedName name="RANGEQUERY1_F7_30_DEPVAL1203">#REF!</definedName>
    <definedName name="RANGEQUERY1_F7_30_DEPVAL1204">#REF!</definedName>
    <definedName name="RANGEQUERY1_F7_30_DEPVAL1205">#REF!</definedName>
    <definedName name="RANGEQUERY1_F7_30_DEPVAL1206">#REF!</definedName>
    <definedName name="RANGEQUERY1_F7_30_DEPVAL1207">#REF!</definedName>
    <definedName name="RANGEQUERY1_F7_30_DEPVAL1301">#REF!</definedName>
    <definedName name="RANGEQUERY1_F7_30_DEPVAL1302">#REF!</definedName>
    <definedName name="RANGEQUERY1_F7_30_DEPVAL1303">#REF!</definedName>
    <definedName name="RANGEQUERY1_F7_30_DEPVAL1304">#REF!</definedName>
    <definedName name="RANGEQUERY1_F7_30_DEPVAL1305">#REF!</definedName>
    <definedName name="RANGEQUERY1_F7_30_DEPVAL1306">#REF!</definedName>
    <definedName name="RANGEQUERY1_F7_30_DEPVAL1307">#REF!</definedName>
    <definedName name="RANGEQUERY1_F7_30_DEPVAL1401">#REF!</definedName>
    <definedName name="RANGEQUERY1_F7_30_DEPVAL1402">#REF!</definedName>
    <definedName name="RANGEQUERY1_F7_30_DEPVAL1403">#REF!</definedName>
    <definedName name="RANGEQUERY1_F7_30_DEPVAL1404">#REF!</definedName>
    <definedName name="RANGEQUERY1_F7_30_DEPVAL1405">#REF!</definedName>
    <definedName name="RANGEQUERY1_F7_30_DEPVAL1406">#REF!</definedName>
    <definedName name="RANGEQUERY1_F7_30_DEPVAL1407">#REF!</definedName>
    <definedName name="RANGEQUERY1_F7_30_DEPVAL1501">#REF!</definedName>
    <definedName name="RANGEQUERY1_F7_30_DEPVAL1502">#REF!</definedName>
    <definedName name="RANGEQUERY1_F7_30_DEPVAL1503">#REF!</definedName>
    <definedName name="RANGEQUERY1_F7_30_DEPVAL1504">#REF!</definedName>
    <definedName name="RANGEQUERY1_F7_30_DEPVAL1505">#REF!</definedName>
    <definedName name="RANGEQUERY1_F7_30_DEPVAL1506">#REF!</definedName>
    <definedName name="RANGEQUERY1_F7_30_DEPVAL1507">#REF!</definedName>
    <definedName name="RANGEQUERY1_F7_30_DEPVAL1601">#REF!</definedName>
    <definedName name="RANGEQUERY1_F7_30_DEPVAL1602">#REF!</definedName>
    <definedName name="RANGEQUERY1_F7_30_DEPVAL1603">#REF!</definedName>
    <definedName name="RANGEQUERY1_F7_30_DEPVAL1604">#REF!</definedName>
    <definedName name="RANGEQUERY1_F7_30_DEPVAL1605">#REF!</definedName>
    <definedName name="RANGEQUERY1_F7_30_DEPVAL1606">#REF!</definedName>
    <definedName name="RANGEQUERY1_F7_30_DEPVAL1607">#REF!</definedName>
    <definedName name="RANGEQUERY1_F7_30_DEPVAL1701">#REF!</definedName>
    <definedName name="RANGEQUERY1_F7_30_DEPVAL1702">#REF!</definedName>
    <definedName name="RANGEQUERY1_F7_30_DEPVAL1703">#REF!</definedName>
    <definedName name="RANGEQUERY1_F7_30_DEPVAL1704">#REF!</definedName>
    <definedName name="RANGEQUERY1_F7_30_DEPVAL1705">#REF!</definedName>
    <definedName name="RANGEQUERY1_F7_30_DEPVAL1706">#REF!</definedName>
    <definedName name="RANGEQUERY1_F7_30_DEPVAL1707">#REF!</definedName>
    <definedName name="RANGEQUERY1_F7_30_DEPVAL201">#REF!</definedName>
    <definedName name="RANGEQUERY1_F7_30_DEPVAL202">#REF!</definedName>
    <definedName name="RANGEQUERY1_F7_30_DEPVAL203">#REF!</definedName>
    <definedName name="RANGEQUERY1_F7_30_DEPVAL204">#REF!</definedName>
    <definedName name="RANGEQUERY1_F7_30_DEPVAL205">#REF!</definedName>
    <definedName name="RANGEQUERY1_F7_30_DEPVAL206">#REF!</definedName>
    <definedName name="RANGEQUERY1_F7_30_DEPVAL207">#REF!</definedName>
    <definedName name="RANGEQUERY1_F7_30_DEPVAL301">#REF!</definedName>
    <definedName name="RANGEQUERY1_F7_30_DEPVAL302">#REF!</definedName>
    <definedName name="RANGEQUERY1_F7_30_DEPVAL303">#REF!</definedName>
    <definedName name="RANGEQUERY1_F7_30_DEPVAL304">#REF!</definedName>
    <definedName name="RANGEQUERY1_F7_30_DEPVAL305">#REF!</definedName>
    <definedName name="RANGEQUERY1_F7_30_DEPVAL306">#REF!</definedName>
    <definedName name="RANGEQUERY1_F7_30_DEPVAL307">#REF!</definedName>
    <definedName name="RANGEQUERY1_F7_30_DEPVAL401">#REF!</definedName>
    <definedName name="RANGEQUERY1_F7_30_DEPVAL402">#REF!</definedName>
    <definedName name="RANGEQUERY1_F7_30_DEPVAL403">#REF!</definedName>
    <definedName name="RANGEQUERY1_F7_30_DEPVAL404">#REF!</definedName>
    <definedName name="RANGEQUERY1_F7_30_DEPVAL405">#REF!</definedName>
    <definedName name="RANGEQUERY1_F7_30_DEPVAL406">#REF!</definedName>
    <definedName name="RANGEQUERY1_F7_30_DEPVAL407">#REF!</definedName>
    <definedName name="RANGEQUERY1_F7_30_DEPVAL501">#REF!</definedName>
    <definedName name="RANGEQUERY1_F7_30_DEPVAL502">#REF!</definedName>
    <definedName name="RANGEQUERY1_F7_30_DEPVAL503">#REF!</definedName>
    <definedName name="RANGEQUERY1_F7_30_DEPVAL504">#REF!</definedName>
    <definedName name="RANGEQUERY1_F7_30_DEPVAL505">#REF!</definedName>
    <definedName name="RANGEQUERY1_F7_30_DEPVAL506">#REF!</definedName>
    <definedName name="RANGEQUERY1_F7_30_DEPVAL507">#REF!</definedName>
    <definedName name="RANGEQUERY1_F7_30_DEPVAL601">#REF!</definedName>
    <definedName name="RANGEQUERY1_F7_30_DEPVAL602">#REF!</definedName>
    <definedName name="RANGEQUERY1_F7_30_DEPVAL603">#REF!</definedName>
    <definedName name="RANGEQUERY1_F7_30_DEPVAL604">#REF!</definedName>
    <definedName name="RANGEQUERY1_F7_30_DEPVAL605">#REF!</definedName>
    <definedName name="RANGEQUERY1_F7_30_DEPVAL606">#REF!</definedName>
    <definedName name="RANGEQUERY1_F7_30_DEPVAL607">#REF!</definedName>
    <definedName name="RANGEQUERY1_F7_30_DEPVAL701">#REF!</definedName>
    <definedName name="RANGEQUERY1_F7_30_DEPVAL702">#REF!</definedName>
    <definedName name="RANGEQUERY1_F7_30_DEPVAL703">#REF!</definedName>
    <definedName name="RANGEQUERY1_F7_30_DEPVAL704">#REF!</definedName>
    <definedName name="RANGEQUERY1_F7_30_DEPVAL705">#REF!</definedName>
    <definedName name="RANGEQUERY1_F7_30_DEPVAL706">#REF!</definedName>
    <definedName name="RANGEQUERY1_F7_30_DEPVAL707">#REF!</definedName>
    <definedName name="RANGEQUERY1_F7_30_DEPVAL801">#REF!</definedName>
    <definedName name="RANGEQUERY1_F7_30_DEPVAL802">#REF!</definedName>
    <definedName name="RANGEQUERY1_F7_30_DEPVAL803">#REF!</definedName>
    <definedName name="RANGEQUERY1_F7_30_DEPVAL804">#REF!</definedName>
    <definedName name="RANGEQUERY1_F7_30_DEPVAL805">#REF!</definedName>
    <definedName name="RANGEQUERY1_F7_30_DEPVAL806">#REF!</definedName>
    <definedName name="RANGEQUERY1_F7_30_DEPVAL807">#REF!</definedName>
    <definedName name="RANGEQUERY1_F7_30_DEPVAL901">#REF!</definedName>
    <definedName name="RANGEQUERY1_F7_30_DEPVAL902">#REF!</definedName>
    <definedName name="RANGEQUERY1_F7_30_DEPVAL903">#REF!</definedName>
    <definedName name="RANGEQUERY1_F7_30_DEPVAL904">#REF!</definedName>
    <definedName name="RANGEQUERY1_F7_30_DEPVAL905">#REF!</definedName>
    <definedName name="RANGEQUERY1_F7_30_DEPVAL906">#REF!</definedName>
    <definedName name="RANGEQUERY1_F7_30_DEPVAL907">#REF!</definedName>
    <definedName name="RANGEQUERY1_POK1_1_1">#REF!</definedName>
    <definedName name="RANGEQUERY1_POK1_1_1_1">#REF!</definedName>
    <definedName name="RANGEQUERY1_POK1_1_1_2">#REF!</definedName>
    <definedName name="RANGEQUERY1_POK1_1_2">#REF!</definedName>
    <definedName name="RANGEQUERY1_POK1_1_2_1">#REF!</definedName>
    <definedName name="RANGEQUERY1_POK1_1_2_2">#REF!</definedName>
    <definedName name="RANGEQUERY1_POK1_1_3_1">#REF!</definedName>
    <definedName name="RANGEQUERY1_POK1_1_3_2">#REF!</definedName>
    <definedName name="RANGEQUERY1_POK1_1_4_1">#REF!</definedName>
    <definedName name="RANGEQUERY1_POK1_1_4_2">#REF!</definedName>
    <definedName name="RANGEQUERY1_POK1_2_1">#REF!</definedName>
    <definedName name="RANGEQUERY1_POK1_2_1_1">#REF!</definedName>
    <definedName name="RANGEQUERY1_POK1_2_1_2">#REF!</definedName>
    <definedName name="RANGEQUERY1_POK1_2_2">#REF!</definedName>
    <definedName name="RANGEQUERY1_POK1_2_2_1">#REF!</definedName>
    <definedName name="RANGEQUERY1_POK1_2_2_2">#REF!</definedName>
    <definedName name="RANGEQUERY1_POK1_2_3_1">#REF!</definedName>
    <definedName name="RANGEQUERY1_POK1_2_3_2">#REF!</definedName>
    <definedName name="RANGEQUERY1_POK1_2_4_1">#REF!</definedName>
    <definedName name="RANGEQUERY1_POK1_2_4_2">#REF!</definedName>
    <definedName name="RANGEQUERY1_POK2_4_1_1">#REF!</definedName>
    <definedName name="RANGEQUERY1_POK2_4_2_1">#REF!</definedName>
    <definedName name="RANGEQUERY1_POK2_4_3_1">#REF!</definedName>
    <definedName name="RANGEQUERY1_POK2_4_4_1">#REF!</definedName>
    <definedName name="RANGEQUERY1_POK2_4_5_1">#REF!</definedName>
    <definedName name="RANGEQUERY1_POK3_3_1_1">#REF!</definedName>
    <definedName name="RANGEQUERY1_POK3_3_2_1">#REF!</definedName>
    <definedName name="RANGEQUERY1_POK3_3_3_1">#REF!</definedName>
    <definedName name="RANGEQUERY1_POK3_3_4_1">#REF!</definedName>
    <definedName name="RANGEQUERY1_POK3_4_1_1">#REF!</definedName>
    <definedName name="RANGEQUERY1_POK3_4_2_1">#REF!</definedName>
    <definedName name="RANGEQUERY1_POK3_4_3_1">#REF!</definedName>
    <definedName name="RANGEQUERY1_POK3_4_4_1">#REF!</definedName>
    <definedName name="RANGEQUERY1_POK3_4_5_1">#REF!</definedName>
    <definedName name="RANGEQUERY10_F7_30_DEPRUB1001">#REF!</definedName>
    <definedName name="RANGEQUERY10_F7_30_DEPRUB1002">#REF!</definedName>
    <definedName name="RANGEQUERY10_F7_30_DEPRUB1003">#REF!</definedName>
    <definedName name="RANGEQUERY10_F7_30_DEPRUB1004">#REF!</definedName>
    <definedName name="RANGEQUERY10_F7_30_DEPRUB1005">#REF!</definedName>
    <definedName name="RANGEQUERY10_F7_30_DEPRUB1006">#REF!</definedName>
    <definedName name="RANGEQUERY10_F7_30_DEPRUB1007">#REF!</definedName>
    <definedName name="RANGEQUERY10_F7_30_DEPRUB1101">#REF!</definedName>
    <definedName name="RANGEQUERY10_F7_30_DEPRUB1102">#REF!</definedName>
    <definedName name="RANGEQUERY10_F7_30_DEPRUB1103">#REF!</definedName>
    <definedName name="RANGEQUERY10_F7_30_DEPRUB1104">#REF!</definedName>
    <definedName name="RANGEQUERY10_F7_30_DEPRUB1105">#REF!</definedName>
    <definedName name="RANGEQUERY10_F7_30_DEPRUB1106">#REF!</definedName>
    <definedName name="RANGEQUERY10_F7_30_DEPRUB1107">#REF!</definedName>
    <definedName name="RANGEQUERY10_F7_30_DEPRUB1201">#REF!</definedName>
    <definedName name="RANGEQUERY10_F7_30_DEPRUB1202">#REF!</definedName>
    <definedName name="RANGEQUERY10_F7_30_DEPRUB1203">#REF!</definedName>
    <definedName name="RANGEQUERY10_F7_30_DEPRUB1204">#REF!</definedName>
    <definedName name="RANGEQUERY10_F7_30_DEPRUB1205">#REF!</definedName>
    <definedName name="RANGEQUERY10_F7_30_DEPRUB1206">#REF!</definedName>
    <definedName name="RANGEQUERY10_F7_30_DEPRUB1207">#REF!</definedName>
    <definedName name="RANGEQUERY10_F7_30_DEPRUB1301">#REF!</definedName>
    <definedName name="RANGEQUERY10_F7_30_DEPRUB1302">#REF!</definedName>
    <definedName name="RANGEQUERY10_F7_30_DEPRUB1303">#REF!</definedName>
    <definedName name="RANGEQUERY10_F7_30_DEPRUB1304">#REF!</definedName>
    <definedName name="RANGEQUERY10_F7_30_DEPRUB1305">#REF!</definedName>
    <definedName name="RANGEQUERY10_F7_30_DEPRUB1306">#REF!</definedName>
    <definedName name="RANGEQUERY10_F7_30_DEPRUB1307">#REF!</definedName>
    <definedName name="RANGEQUERY10_F7_30_DEPRUB1401">#REF!</definedName>
    <definedName name="RANGEQUERY10_F7_30_DEPRUB1402">#REF!</definedName>
    <definedName name="RANGEQUERY10_F7_30_DEPRUB1403">#REF!</definedName>
    <definedName name="RANGEQUERY10_F7_30_DEPRUB1404">#REF!</definedName>
    <definedName name="RANGEQUERY10_F7_30_DEPRUB1405">#REF!</definedName>
    <definedName name="RANGEQUERY10_F7_30_DEPRUB1406">#REF!</definedName>
    <definedName name="RANGEQUERY10_F7_30_DEPRUB1407">#REF!</definedName>
    <definedName name="RANGEQUERY10_F7_30_DEPRUB1501">#REF!</definedName>
    <definedName name="RANGEQUERY10_F7_30_DEPRUB1502">#REF!</definedName>
    <definedName name="RANGEQUERY10_F7_30_DEPRUB1503">#REF!</definedName>
    <definedName name="RANGEQUERY10_F7_30_DEPRUB1504">#REF!</definedName>
    <definedName name="RANGEQUERY10_F7_30_DEPRUB1505">#REF!</definedName>
    <definedName name="RANGEQUERY10_F7_30_DEPRUB1506">#REF!</definedName>
    <definedName name="RANGEQUERY10_F7_30_DEPRUB1507">#REF!</definedName>
    <definedName name="RANGEQUERY10_F7_30_DEPRUB1601">#REF!</definedName>
    <definedName name="RANGEQUERY10_F7_30_DEPRUB1602">#REF!</definedName>
    <definedName name="RANGEQUERY10_F7_30_DEPRUB1603">#REF!</definedName>
    <definedName name="RANGEQUERY10_F7_30_DEPRUB1604">#REF!</definedName>
    <definedName name="RANGEQUERY10_F7_30_DEPRUB1605">#REF!</definedName>
    <definedName name="RANGEQUERY10_F7_30_DEPRUB1606">#REF!</definedName>
    <definedName name="RANGEQUERY10_F7_30_DEPRUB1607">#REF!</definedName>
    <definedName name="RANGEQUERY10_F7_30_DEPRUB1701">#REF!</definedName>
    <definedName name="RANGEQUERY10_F7_30_DEPRUB1702">#REF!</definedName>
    <definedName name="RANGEQUERY10_F7_30_DEPRUB1703">#REF!</definedName>
    <definedName name="RANGEQUERY10_F7_30_DEPRUB1704">#REF!</definedName>
    <definedName name="RANGEQUERY10_F7_30_DEPRUB1705">#REF!</definedName>
    <definedName name="RANGEQUERY10_F7_30_DEPRUB1706">#REF!</definedName>
    <definedName name="RANGEQUERY10_F7_30_DEPRUB1707">#REF!</definedName>
    <definedName name="RANGEQUERY10_F7_30_DEPRUB201">#REF!</definedName>
    <definedName name="RANGEQUERY10_F7_30_DEPRUB202">#REF!</definedName>
    <definedName name="RANGEQUERY10_F7_30_DEPRUB203">#REF!</definedName>
    <definedName name="RANGEQUERY10_F7_30_DEPRUB204">#REF!</definedName>
    <definedName name="RANGEQUERY10_F7_30_DEPRUB205">#REF!</definedName>
    <definedName name="RANGEQUERY10_F7_30_DEPRUB206">#REF!</definedName>
    <definedName name="RANGEQUERY10_F7_30_DEPRUB207">#REF!</definedName>
    <definedName name="RANGEQUERY10_F7_30_DEPRUB301">#REF!</definedName>
    <definedName name="RANGEQUERY10_F7_30_DEPRUB302">#REF!</definedName>
    <definedName name="RANGEQUERY10_F7_30_DEPRUB303">#REF!</definedName>
    <definedName name="RANGEQUERY10_F7_30_DEPRUB304">#REF!</definedName>
    <definedName name="RANGEQUERY10_F7_30_DEPRUB305">#REF!</definedName>
    <definedName name="RANGEQUERY10_F7_30_DEPRUB306">#REF!</definedName>
    <definedName name="RANGEQUERY10_F7_30_DEPRUB307">#REF!</definedName>
    <definedName name="RANGEQUERY10_F7_30_DEPRUB401">#REF!</definedName>
    <definedName name="RANGEQUERY10_F7_30_DEPRUB402">#REF!</definedName>
    <definedName name="RANGEQUERY10_F7_30_DEPRUB403">#REF!</definedName>
    <definedName name="RANGEQUERY10_F7_30_DEPRUB404">#REF!</definedName>
    <definedName name="RANGEQUERY10_F7_30_DEPRUB405">#REF!</definedName>
    <definedName name="RANGEQUERY10_F7_30_DEPRUB406">#REF!</definedName>
    <definedName name="RANGEQUERY10_F7_30_DEPRUB407">#REF!</definedName>
    <definedName name="RANGEQUERY10_F7_30_DEPRUB501">#REF!</definedName>
    <definedName name="RANGEQUERY10_F7_30_DEPRUB502">#REF!</definedName>
    <definedName name="RANGEQUERY10_F7_30_DEPRUB503">#REF!</definedName>
    <definedName name="RANGEQUERY10_F7_30_DEPRUB504">#REF!</definedName>
    <definedName name="RANGEQUERY10_F7_30_DEPRUB505">#REF!</definedName>
    <definedName name="RANGEQUERY10_F7_30_DEPRUB506">#REF!</definedName>
    <definedName name="RANGEQUERY10_F7_30_DEPRUB507">#REF!</definedName>
    <definedName name="RANGEQUERY10_F7_30_DEPRUB601">#REF!</definedName>
    <definedName name="RANGEQUERY10_F7_30_DEPRUB602">#REF!</definedName>
    <definedName name="RANGEQUERY10_F7_30_DEPRUB603">#REF!</definedName>
    <definedName name="RANGEQUERY10_F7_30_DEPRUB604">#REF!</definedName>
    <definedName name="RANGEQUERY10_F7_30_DEPRUB605">#REF!</definedName>
    <definedName name="RANGEQUERY10_F7_30_DEPRUB606">#REF!</definedName>
    <definedName name="RANGEQUERY10_F7_30_DEPRUB607">#REF!</definedName>
    <definedName name="RANGEQUERY10_F7_30_DEPRUB701">#REF!</definedName>
    <definedName name="RANGEQUERY10_F7_30_DEPRUB702">#REF!</definedName>
    <definedName name="RANGEQUERY10_F7_30_DEPRUB703">#REF!</definedName>
    <definedName name="RANGEQUERY10_F7_30_DEPRUB704">#REF!</definedName>
    <definedName name="RANGEQUERY10_F7_30_DEPRUB705">#REF!</definedName>
    <definedName name="RANGEQUERY10_F7_30_DEPRUB706">#REF!</definedName>
    <definedName name="RANGEQUERY10_F7_30_DEPRUB707">#REF!</definedName>
    <definedName name="RANGEQUERY10_F7_30_DEPRUB801">#REF!</definedName>
    <definedName name="RANGEQUERY10_F7_30_DEPRUB802">#REF!</definedName>
    <definedName name="RANGEQUERY10_F7_30_DEPRUB803">#REF!</definedName>
    <definedName name="RANGEQUERY10_F7_30_DEPRUB804">#REF!</definedName>
    <definedName name="RANGEQUERY10_F7_30_DEPRUB805">#REF!</definedName>
    <definedName name="RANGEQUERY10_F7_30_DEPRUB806">#REF!</definedName>
    <definedName name="RANGEQUERY10_F7_30_DEPRUB807">#REF!</definedName>
    <definedName name="RANGEQUERY10_F7_30_DEPRUB901">#REF!</definedName>
    <definedName name="RANGEQUERY10_F7_30_DEPRUB902">#REF!</definedName>
    <definedName name="RANGEQUERY10_F7_30_DEPRUB903">#REF!</definedName>
    <definedName name="RANGEQUERY10_F7_30_DEPRUB904">#REF!</definedName>
    <definedName name="RANGEQUERY10_F7_30_DEPRUB905">#REF!</definedName>
    <definedName name="RANGEQUERY10_F7_30_DEPRUB906">#REF!</definedName>
    <definedName name="RANGEQUERY10_F7_30_DEPRUB907">#REF!</definedName>
    <definedName name="RANGEQUERY10_F7_30_DEPVAL1001">#REF!</definedName>
    <definedName name="RANGEQUERY10_F7_30_DEPVAL1002">#REF!</definedName>
    <definedName name="RANGEQUERY10_F7_30_DEPVAL1003">#REF!</definedName>
    <definedName name="RANGEQUERY10_F7_30_DEPVAL1004">#REF!</definedName>
    <definedName name="RANGEQUERY10_F7_30_DEPVAL1005">#REF!</definedName>
    <definedName name="RANGEQUERY10_F7_30_DEPVAL1006">#REF!</definedName>
    <definedName name="RANGEQUERY10_F7_30_DEPVAL1007">#REF!</definedName>
    <definedName name="RANGEQUERY10_F7_30_DEPVAL1101">#REF!</definedName>
    <definedName name="RANGEQUERY10_F7_30_DEPVAL1102">#REF!</definedName>
    <definedName name="RANGEQUERY10_F7_30_DEPVAL1103">#REF!</definedName>
    <definedName name="RANGEQUERY10_F7_30_DEPVAL1104">#REF!</definedName>
    <definedName name="RANGEQUERY10_F7_30_DEPVAL1105">#REF!</definedName>
    <definedName name="RANGEQUERY10_F7_30_DEPVAL1106">#REF!</definedName>
    <definedName name="RANGEQUERY10_F7_30_DEPVAL1107">#REF!</definedName>
    <definedName name="RANGEQUERY10_F7_30_DEPVAL1201">#REF!</definedName>
    <definedName name="RANGEQUERY10_F7_30_DEPVAL1202">#REF!</definedName>
    <definedName name="RANGEQUERY10_F7_30_DEPVAL1203">#REF!</definedName>
    <definedName name="RANGEQUERY10_F7_30_DEPVAL1204">#REF!</definedName>
    <definedName name="RANGEQUERY10_F7_30_DEPVAL1205">#REF!</definedName>
    <definedName name="RANGEQUERY10_F7_30_DEPVAL1206">#REF!</definedName>
    <definedName name="RANGEQUERY10_F7_30_DEPVAL1207">#REF!</definedName>
    <definedName name="RANGEQUERY10_F7_30_DEPVAL1301">#REF!</definedName>
    <definedName name="RANGEQUERY10_F7_30_DEPVAL1302">#REF!</definedName>
    <definedName name="RANGEQUERY10_F7_30_DEPVAL1303">#REF!</definedName>
    <definedName name="RANGEQUERY10_F7_30_DEPVAL1304">#REF!</definedName>
    <definedName name="RANGEQUERY10_F7_30_DEPVAL1305">#REF!</definedName>
    <definedName name="RANGEQUERY10_F7_30_DEPVAL1306">#REF!</definedName>
    <definedName name="RANGEQUERY10_F7_30_DEPVAL1307">#REF!</definedName>
    <definedName name="RANGEQUERY10_F7_30_DEPVAL1401">#REF!</definedName>
    <definedName name="RANGEQUERY10_F7_30_DEPVAL1402">#REF!</definedName>
    <definedName name="RANGEQUERY10_F7_30_DEPVAL1403">#REF!</definedName>
    <definedName name="RANGEQUERY10_F7_30_DEPVAL1404">#REF!</definedName>
    <definedName name="RANGEQUERY10_F7_30_DEPVAL1405">#REF!</definedName>
    <definedName name="RANGEQUERY10_F7_30_DEPVAL1406">#REF!</definedName>
    <definedName name="RANGEQUERY10_F7_30_DEPVAL1407">#REF!</definedName>
    <definedName name="RANGEQUERY10_F7_30_DEPVAL1501">#REF!</definedName>
    <definedName name="RANGEQUERY10_F7_30_DEPVAL1502">#REF!</definedName>
    <definedName name="RANGEQUERY10_F7_30_DEPVAL1503">#REF!</definedName>
    <definedName name="RANGEQUERY10_F7_30_DEPVAL1504">#REF!</definedName>
    <definedName name="RANGEQUERY10_F7_30_DEPVAL1505">#REF!</definedName>
    <definedName name="RANGEQUERY10_F7_30_DEPVAL1506">#REF!</definedName>
    <definedName name="RANGEQUERY10_F7_30_DEPVAL1507">#REF!</definedName>
    <definedName name="RANGEQUERY10_F7_30_DEPVAL1601">#REF!</definedName>
    <definedName name="RANGEQUERY10_F7_30_DEPVAL1602">#REF!</definedName>
    <definedName name="RANGEQUERY10_F7_30_DEPVAL1603">#REF!</definedName>
    <definedName name="RANGEQUERY10_F7_30_DEPVAL1604">#REF!</definedName>
    <definedName name="RANGEQUERY10_F7_30_DEPVAL1605">#REF!</definedName>
    <definedName name="RANGEQUERY10_F7_30_DEPVAL1606">#REF!</definedName>
    <definedName name="RANGEQUERY10_F7_30_DEPVAL1607">#REF!</definedName>
    <definedName name="RANGEQUERY10_F7_30_DEPVAL1701">#REF!</definedName>
    <definedName name="RANGEQUERY10_F7_30_DEPVAL1702">#REF!</definedName>
    <definedName name="RANGEQUERY10_F7_30_DEPVAL1703">#REF!</definedName>
    <definedName name="RANGEQUERY10_F7_30_DEPVAL1704">#REF!</definedName>
    <definedName name="RANGEQUERY10_F7_30_DEPVAL1705">#REF!</definedName>
    <definedName name="RANGEQUERY10_F7_30_DEPVAL1706">#REF!</definedName>
    <definedName name="RANGEQUERY10_F7_30_DEPVAL1707">#REF!</definedName>
    <definedName name="RANGEQUERY10_F7_30_DEPVAL201">#REF!</definedName>
    <definedName name="RANGEQUERY10_F7_30_DEPVAL202">#REF!</definedName>
    <definedName name="RANGEQUERY10_F7_30_DEPVAL203">#REF!</definedName>
    <definedName name="RANGEQUERY10_F7_30_DEPVAL204">#REF!</definedName>
    <definedName name="RANGEQUERY10_F7_30_DEPVAL205">#REF!</definedName>
    <definedName name="RANGEQUERY10_F7_30_DEPVAL206">#REF!</definedName>
    <definedName name="RANGEQUERY10_F7_30_DEPVAL207">#REF!</definedName>
    <definedName name="RANGEQUERY10_F7_30_DEPVAL301">#REF!</definedName>
    <definedName name="RANGEQUERY10_F7_30_DEPVAL302">#REF!</definedName>
    <definedName name="RANGEQUERY10_F7_30_DEPVAL303">#REF!</definedName>
    <definedName name="RANGEQUERY10_F7_30_DEPVAL304">#REF!</definedName>
    <definedName name="RANGEQUERY10_F7_30_DEPVAL305">#REF!</definedName>
    <definedName name="RANGEQUERY10_F7_30_DEPVAL306">#REF!</definedName>
    <definedName name="RANGEQUERY10_F7_30_DEPVAL307">#REF!</definedName>
    <definedName name="RANGEQUERY10_F7_30_DEPVAL401">#REF!</definedName>
    <definedName name="RANGEQUERY10_F7_30_DEPVAL402">#REF!</definedName>
    <definedName name="RANGEQUERY10_F7_30_DEPVAL403">#REF!</definedName>
    <definedName name="RANGEQUERY10_F7_30_DEPVAL404">#REF!</definedName>
    <definedName name="RANGEQUERY10_F7_30_DEPVAL405">#REF!</definedName>
    <definedName name="RANGEQUERY10_F7_30_DEPVAL406">#REF!</definedName>
    <definedName name="RANGEQUERY10_F7_30_DEPVAL407">#REF!</definedName>
    <definedName name="RANGEQUERY10_F7_30_DEPVAL501">#REF!</definedName>
    <definedName name="RANGEQUERY10_F7_30_DEPVAL502">#REF!</definedName>
    <definedName name="RANGEQUERY10_F7_30_DEPVAL503">#REF!</definedName>
    <definedName name="RANGEQUERY10_F7_30_DEPVAL504">#REF!</definedName>
    <definedName name="RANGEQUERY10_F7_30_DEPVAL505">#REF!</definedName>
    <definedName name="RANGEQUERY10_F7_30_DEPVAL506">#REF!</definedName>
    <definedName name="RANGEQUERY10_F7_30_DEPVAL507">#REF!</definedName>
    <definedName name="RANGEQUERY10_F7_30_DEPVAL601">#REF!</definedName>
    <definedName name="RANGEQUERY10_F7_30_DEPVAL602">#REF!</definedName>
    <definedName name="RANGEQUERY10_F7_30_DEPVAL603">#REF!</definedName>
    <definedName name="RANGEQUERY10_F7_30_DEPVAL604">#REF!</definedName>
    <definedName name="RANGEQUERY10_F7_30_DEPVAL605">#REF!</definedName>
    <definedName name="RANGEQUERY10_F7_30_DEPVAL606">#REF!</definedName>
    <definedName name="RANGEQUERY10_F7_30_DEPVAL607">#REF!</definedName>
    <definedName name="RANGEQUERY10_F7_30_DEPVAL701">#REF!</definedName>
    <definedName name="RANGEQUERY10_F7_30_DEPVAL702">#REF!</definedName>
    <definedName name="RANGEQUERY10_F7_30_DEPVAL703">#REF!</definedName>
    <definedName name="RANGEQUERY10_F7_30_DEPVAL704">#REF!</definedName>
    <definedName name="RANGEQUERY10_F7_30_DEPVAL705">#REF!</definedName>
    <definedName name="RANGEQUERY10_F7_30_DEPVAL706">#REF!</definedName>
    <definedName name="RANGEQUERY10_F7_30_DEPVAL707">#REF!</definedName>
    <definedName name="RANGEQUERY10_F7_30_DEPVAL801">#REF!</definedName>
    <definedName name="RANGEQUERY10_F7_30_DEPVAL802">#REF!</definedName>
    <definedName name="RANGEQUERY10_F7_30_DEPVAL803">#REF!</definedName>
    <definedName name="RANGEQUERY10_F7_30_DEPVAL804">#REF!</definedName>
    <definedName name="RANGEQUERY10_F7_30_DEPVAL805">#REF!</definedName>
    <definedName name="RANGEQUERY10_F7_30_DEPVAL806">#REF!</definedName>
    <definedName name="RANGEQUERY10_F7_30_DEPVAL807">#REF!</definedName>
    <definedName name="RANGEQUERY10_F7_30_DEPVAL901">#REF!</definedName>
    <definedName name="RANGEQUERY10_F7_30_DEPVAL902">#REF!</definedName>
    <definedName name="RANGEQUERY10_F7_30_DEPVAL903">#REF!</definedName>
    <definedName name="RANGEQUERY10_F7_30_DEPVAL904">#REF!</definedName>
    <definedName name="RANGEQUERY10_F7_30_DEPVAL905">#REF!</definedName>
    <definedName name="RANGEQUERY10_F7_30_DEPVAL906">#REF!</definedName>
    <definedName name="RANGEQUERY10_F7_30_DEPVAL907">#REF!</definedName>
    <definedName name="RANGEQUERY11_F7_30_DEPRUB1001">#REF!</definedName>
    <definedName name="RANGEQUERY11_F7_30_DEPRUB1002">#REF!</definedName>
    <definedName name="RANGEQUERY11_F7_30_DEPRUB1003">#REF!</definedName>
    <definedName name="RANGEQUERY11_F7_30_DEPRUB1004">#REF!</definedName>
    <definedName name="RANGEQUERY11_F7_30_DEPRUB1005">#REF!</definedName>
    <definedName name="RANGEQUERY11_F7_30_DEPRUB1006">#REF!</definedName>
    <definedName name="RANGEQUERY11_F7_30_DEPRUB1007">#REF!</definedName>
    <definedName name="RANGEQUERY11_F7_30_DEPRUB1101">#REF!</definedName>
    <definedName name="RANGEQUERY11_F7_30_DEPRUB1102">#REF!</definedName>
    <definedName name="RANGEQUERY11_F7_30_DEPRUB1103">#REF!</definedName>
    <definedName name="RANGEQUERY11_F7_30_DEPRUB1104">#REF!</definedName>
    <definedName name="RANGEQUERY11_F7_30_DEPRUB1105">#REF!</definedName>
    <definedName name="RANGEQUERY11_F7_30_DEPRUB1106">#REF!</definedName>
    <definedName name="RANGEQUERY11_F7_30_DEPRUB1107">#REF!</definedName>
    <definedName name="RANGEQUERY11_F7_30_DEPRUB1201">#REF!</definedName>
    <definedName name="RANGEQUERY11_F7_30_DEPRUB1202">#REF!</definedName>
    <definedName name="RANGEQUERY11_F7_30_DEPRUB1203">#REF!</definedName>
    <definedName name="RANGEQUERY11_F7_30_DEPRUB1204">#REF!</definedName>
    <definedName name="RANGEQUERY11_F7_30_DEPRUB1205">#REF!</definedName>
    <definedName name="RANGEQUERY11_F7_30_DEPRUB1206">#REF!</definedName>
    <definedName name="RANGEQUERY11_F7_30_DEPRUB1207">#REF!</definedName>
    <definedName name="RANGEQUERY11_F7_30_DEPRUB1301">#REF!</definedName>
    <definedName name="RANGEQUERY11_F7_30_DEPRUB1302">#REF!</definedName>
    <definedName name="RANGEQUERY11_F7_30_DEPRUB1303">#REF!</definedName>
    <definedName name="RANGEQUERY11_F7_30_DEPRUB1304">#REF!</definedName>
    <definedName name="RANGEQUERY11_F7_30_DEPRUB1305">#REF!</definedName>
    <definedName name="RANGEQUERY11_F7_30_DEPRUB1306">#REF!</definedName>
    <definedName name="RANGEQUERY11_F7_30_DEPRUB1307">#REF!</definedName>
    <definedName name="RANGEQUERY11_F7_30_DEPRUB1401">#REF!</definedName>
    <definedName name="RANGEQUERY11_F7_30_DEPRUB1402">#REF!</definedName>
    <definedName name="RANGEQUERY11_F7_30_DEPRUB1403">#REF!</definedName>
    <definedName name="RANGEQUERY11_F7_30_DEPRUB1404">#REF!</definedName>
    <definedName name="RANGEQUERY11_F7_30_DEPRUB1405">#REF!</definedName>
    <definedName name="RANGEQUERY11_F7_30_DEPRUB1406">#REF!</definedName>
    <definedName name="RANGEQUERY11_F7_30_DEPRUB1407">#REF!</definedName>
    <definedName name="RANGEQUERY11_F7_30_DEPRUB1501">#REF!</definedName>
    <definedName name="RANGEQUERY11_F7_30_DEPRUB1502">#REF!</definedName>
    <definedName name="RANGEQUERY11_F7_30_DEPRUB1503">#REF!</definedName>
    <definedName name="RANGEQUERY11_F7_30_DEPRUB1504">#REF!</definedName>
    <definedName name="RANGEQUERY11_F7_30_DEPRUB1505">#REF!</definedName>
    <definedName name="RANGEQUERY11_F7_30_DEPRUB1506">#REF!</definedName>
    <definedName name="RANGEQUERY11_F7_30_DEPRUB1507">#REF!</definedName>
    <definedName name="RANGEQUERY11_F7_30_DEPRUB1601">#REF!</definedName>
    <definedName name="RANGEQUERY11_F7_30_DEPRUB1602">#REF!</definedName>
    <definedName name="RANGEQUERY11_F7_30_DEPRUB1603">#REF!</definedName>
    <definedName name="RANGEQUERY11_F7_30_DEPRUB1604">#REF!</definedName>
    <definedName name="RANGEQUERY11_F7_30_DEPRUB1605">#REF!</definedName>
    <definedName name="RANGEQUERY11_F7_30_DEPRUB1606">#REF!</definedName>
    <definedName name="RANGEQUERY11_F7_30_DEPRUB1607">#REF!</definedName>
    <definedName name="RANGEQUERY11_F7_30_DEPRUB1701">#REF!</definedName>
    <definedName name="RANGEQUERY11_F7_30_DEPRUB1702">#REF!</definedName>
    <definedName name="RANGEQUERY11_F7_30_DEPRUB1703">#REF!</definedName>
    <definedName name="RANGEQUERY11_F7_30_DEPRUB1704">#REF!</definedName>
    <definedName name="RANGEQUERY11_F7_30_DEPRUB1705">#REF!</definedName>
    <definedName name="RANGEQUERY11_F7_30_DEPRUB1706">#REF!</definedName>
    <definedName name="RANGEQUERY11_F7_30_DEPRUB1707">#REF!</definedName>
    <definedName name="RANGEQUERY11_F7_30_DEPRUB201">#REF!</definedName>
    <definedName name="RANGEQUERY11_F7_30_DEPRUB202">#REF!</definedName>
    <definedName name="RANGEQUERY11_F7_30_DEPRUB203">#REF!</definedName>
    <definedName name="RANGEQUERY11_F7_30_DEPRUB204">#REF!</definedName>
    <definedName name="RANGEQUERY11_F7_30_DEPRUB205">#REF!</definedName>
    <definedName name="RANGEQUERY11_F7_30_DEPRUB206">#REF!</definedName>
    <definedName name="RANGEQUERY11_F7_30_DEPRUB207">#REF!</definedName>
    <definedName name="RANGEQUERY11_F7_30_DEPRUB301">#REF!</definedName>
    <definedName name="RANGEQUERY11_F7_30_DEPRUB302">#REF!</definedName>
    <definedName name="RANGEQUERY11_F7_30_DEPRUB303">#REF!</definedName>
    <definedName name="RANGEQUERY11_F7_30_DEPRUB304">#REF!</definedName>
    <definedName name="RANGEQUERY11_F7_30_DEPRUB305">#REF!</definedName>
    <definedName name="RANGEQUERY11_F7_30_DEPRUB306">#REF!</definedName>
    <definedName name="RANGEQUERY11_F7_30_DEPRUB307">#REF!</definedName>
    <definedName name="RANGEQUERY11_F7_30_DEPRUB401">#REF!</definedName>
    <definedName name="RANGEQUERY11_F7_30_DEPRUB402">#REF!</definedName>
    <definedName name="RANGEQUERY11_F7_30_DEPRUB403">#REF!</definedName>
    <definedName name="RANGEQUERY11_F7_30_DEPRUB404">#REF!</definedName>
    <definedName name="RANGEQUERY11_F7_30_DEPRUB405">#REF!</definedName>
    <definedName name="RANGEQUERY11_F7_30_DEPRUB406">#REF!</definedName>
    <definedName name="RANGEQUERY11_F7_30_DEPRUB407">#REF!</definedName>
    <definedName name="RANGEQUERY11_F7_30_DEPRUB501">#REF!</definedName>
    <definedName name="RANGEQUERY11_F7_30_DEPRUB502">#REF!</definedName>
    <definedName name="RANGEQUERY11_F7_30_DEPRUB503">#REF!</definedName>
    <definedName name="RANGEQUERY11_F7_30_DEPRUB504">#REF!</definedName>
    <definedName name="RANGEQUERY11_F7_30_DEPRUB505">#REF!</definedName>
    <definedName name="RANGEQUERY11_F7_30_DEPRUB506">#REF!</definedName>
    <definedName name="RANGEQUERY11_F7_30_DEPRUB507">#REF!</definedName>
    <definedName name="RANGEQUERY11_F7_30_DEPRUB601">#REF!</definedName>
    <definedName name="RANGEQUERY11_F7_30_DEPRUB602">#REF!</definedName>
    <definedName name="RANGEQUERY11_F7_30_DEPRUB603">#REF!</definedName>
    <definedName name="RANGEQUERY11_F7_30_DEPRUB604">#REF!</definedName>
    <definedName name="RANGEQUERY11_F7_30_DEPRUB605">#REF!</definedName>
    <definedName name="RANGEQUERY11_F7_30_DEPRUB606">#REF!</definedName>
    <definedName name="RANGEQUERY11_F7_30_DEPRUB607">#REF!</definedName>
    <definedName name="RANGEQUERY11_F7_30_DEPRUB701">#REF!</definedName>
    <definedName name="RANGEQUERY11_F7_30_DEPRUB702">#REF!</definedName>
    <definedName name="RANGEQUERY11_F7_30_DEPRUB703">#REF!</definedName>
    <definedName name="RANGEQUERY11_F7_30_DEPRUB704">#REF!</definedName>
    <definedName name="RANGEQUERY11_F7_30_DEPRUB705">#REF!</definedName>
    <definedName name="RANGEQUERY11_F7_30_DEPRUB706">#REF!</definedName>
    <definedName name="RANGEQUERY11_F7_30_DEPRUB707">#REF!</definedName>
    <definedName name="RANGEQUERY11_F7_30_DEPRUB801">#REF!</definedName>
    <definedName name="RANGEQUERY11_F7_30_DEPRUB802">#REF!</definedName>
    <definedName name="RANGEQUERY11_F7_30_DEPRUB803">#REF!</definedName>
    <definedName name="RANGEQUERY11_F7_30_DEPRUB804">#REF!</definedName>
    <definedName name="RANGEQUERY11_F7_30_DEPRUB805">#REF!</definedName>
    <definedName name="RANGEQUERY11_F7_30_DEPRUB806">#REF!</definedName>
    <definedName name="RANGEQUERY11_F7_30_DEPRUB807">#REF!</definedName>
    <definedName name="RANGEQUERY11_F7_30_DEPRUB901">#REF!</definedName>
    <definedName name="RANGEQUERY11_F7_30_DEPRUB902">#REF!</definedName>
    <definedName name="RANGEQUERY11_F7_30_DEPRUB903">#REF!</definedName>
    <definedName name="RANGEQUERY11_F7_30_DEPRUB904">#REF!</definedName>
    <definedName name="RANGEQUERY11_F7_30_DEPRUB905">#REF!</definedName>
    <definedName name="RANGEQUERY11_F7_30_DEPRUB906">#REF!</definedName>
    <definedName name="RANGEQUERY11_F7_30_DEPRUB907">#REF!</definedName>
    <definedName name="RANGEQUERY11_F7_30_DEPVAL1001">#REF!</definedName>
    <definedName name="RANGEQUERY11_F7_30_DEPVAL1002">#REF!</definedName>
    <definedName name="RANGEQUERY11_F7_30_DEPVAL1003">#REF!</definedName>
    <definedName name="RANGEQUERY11_F7_30_DEPVAL1004">#REF!</definedName>
    <definedName name="RANGEQUERY11_F7_30_DEPVAL1005">#REF!</definedName>
    <definedName name="RANGEQUERY11_F7_30_DEPVAL1006">#REF!</definedName>
    <definedName name="RANGEQUERY11_F7_30_DEPVAL1007">#REF!</definedName>
    <definedName name="RANGEQUERY11_F7_30_DEPVAL1101">#REF!</definedName>
    <definedName name="RANGEQUERY11_F7_30_DEPVAL1102">#REF!</definedName>
    <definedName name="RANGEQUERY11_F7_30_DEPVAL1103">#REF!</definedName>
    <definedName name="RANGEQUERY11_F7_30_DEPVAL1104">#REF!</definedName>
    <definedName name="RANGEQUERY11_F7_30_DEPVAL1105">#REF!</definedName>
    <definedName name="RANGEQUERY11_F7_30_DEPVAL1106">#REF!</definedName>
    <definedName name="RANGEQUERY11_F7_30_DEPVAL1107">#REF!</definedName>
    <definedName name="RANGEQUERY11_F7_30_DEPVAL1201">#REF!</definedName>
    <definedName name="RANGEQUERY11_F7_30_DEPVAL1202">#REF!</definedName>
    <definedName name="RANGEQUERY11_F7_30_DEPVAL1203">#REF!</definedName>
    <definedName name="RANGEQUERY11_F7_30_DEPVAL1204">#REF!</definedName>
    <definedName name="RANGEQUERY11_F7_30_DEPVAL1205">#REF!</definedName>
    <definedName name="RANGEQUERY11_F7_30_DEPVAL1206">#REF!</definedName>
    <definedName name="RANGEQUERY11_F7_30_DEPVAL1207">#REF!</definedName>
    <definedName name="RANGEQUERY11_F7_30_DEPVAL1301">#REF!</definedName>
    <definedName name="RANGEQUERY11_F7_30_DEPVAL1302">#REF!</definedName>
    <definedName name="RANGEQUERY11_F7_30_DEPVAL1303">#REF!</definedName>
    <definedName name="RANGEQUERY11_F7_30_DEPVAL1304">#REF!</definedName>
    <definedName name="RANGEQUERY11_F7_30_DEPVAL1305">#REF!</definedName>
    <definedName name="RANGEQUERY11_F7_30_DEPVAL1306">#REF!</definedName>
    <definedName name="RANGEQUERY11_F7_30_DEPVAL1307">#REF!</definedName>
    <definedName name="RANGEQUERY11_F7_30_DEPVAL1401">#REF!</definedName>
    <definedName name="RANGEQUERY11_F7_30_DEPVAL1402">#REF!</definedName>
    <definedName name="RANGEQUERY11_F7_30_DEPVAL1403">#REF!</definedName>
    <definedName name="RANGEQUERY11_F7_30_DEPVAL1404">#REF!</definedName>
    <definedName name="RANGEQUERY11_F7_30_DEPVAL1405">#REF!</definedName>
    <definedName name="RANGEQUERY11_F7_30_DEPVAL1406">#REF!</definedName>
    <definedName name="RANGEQUERY11_F7_30_DEPVAL1407">#REF!</definedName>
    <definedName name="RANGEQUERY11_F7_30_DEPVAL1501">#REF!</definedName>
    <definedName name="RANGEQUERY11_F7_30_DEPVAL1502">#REF!</definedName>
    <definedName name="RANGEQUERY11_F7_30_DEPVAL1503">#REF!</definedName>
    <definedName name="RANGEQUERY11_F7_30_DEPVAL1504">#REF!</definedName>
    <definedName name="RANGEQUERY11_F7_30_DEPVAL1505">#REF!</definedName>
    <definedName name="RANGEQUERY11_F7_30_DEPVAL1506">#REF!</definedName>
    <definedName name="RANGEQUERY11_F7_30_DEPVAL1507">#REF!</definedName>
    <definedName name="RANGEQUERY11_F7_30_DEPVAL1601">#REF!</definedName>
    <definedName name="RANGEQUERY11_F7_30_DEPVAL1602">#REF!</definedName>
    <definedName name="RANGEQUERY11_F7_30_DEPVAL1603">#REF!</definedName>
    <definedName name="RANGEQUERY11_F7_30_DEPVAL1604">#REF!</definedName>
    <definedName name="RANGEQUERY11_F7_30_DEPVAL1605">#REF!</definedName>
    <definedName name="RANGEQUERY11_F7_30_DEPVAL1606">#REF!</definedName>
    <definedName name="RANGEQUERY11_F7_30_DEPVAL1607">#REF!</definedName>
    <definedName name="RANGEQUERY11_F7_30_DEPVAL1701">#REF!</definedName>
    <definedName name="RANGEQUERY11_F7_30_DEPVAL1702">#REF!</definedName>
    <definedName name="RANGEQUERY11_F7_30_DEPVAL1703">#REF!</definedName>
    <definedName name="RANGEQUERY11_F7_30_DEPVAL1704">#REF!</definedName>
    <definedName name="RANGEQUERY11_F7_30_DEPVAL1705">#REF!</definedName>
    <definedName name="RANGEQUERY11_F7_30_DEPVAL1706">#REF!</definedName>
    <definedName name="RANGEQUERY11_F7_30_DEPVAL1707">#REF!</definedName>
    <definedName name="RANGEQUERY11_F7_30_DEPVAL201">#REF!</definedName>
    <definedName name="RANGEQUERY11_F7_30_DEPVAL202">#REF!</definedName>
    <definedName name="RANGEQUERY11_F7_30_DEPVAL203">#REF!</definedName>
    <definedName name="RANGEQUERY11_F7_30_DEPVAL204">#REF!</definedName>
    <definedName name="RANGEQUERY11_F7_30_DEPVAL205">#REF!</definedName>
    <definedName name="RANGEQUERY11_F7_30_DEPVAL206">#REF!</definedName>
    <definedName name="RANGEQUERY11_F7_30_DEPVAL207">#REF!</definedName>
    <definedName name="RANGEQUERY11_F7_30_DEPVAL301">#REF!</definedName>
    <definedName name="RANGEQUERY11_F7_30_DEPVAL302">#REF!</definedName>
    <definedName name="RANGEQUERY11_F7_30_DEPVAL303">#REF!</definedName>
    <definedName name="RANGEQUERY11_F7_30_DEPVAL304">#REF!</definedName>
    <definedName name="RANGEQUERY11_F7_30_DEPVAL305">#REF!</definedName>
    <definedName name="RANGEQUERY11_F7_30_DEPVAL306">#REF!</definedName>
    <definedName name="RANGEQUERY11_F7_30_DEPVAL307">#REF!</definedName>
    <definedName name="RANGEQUERY11_F7_30_DEPVAL401">#REF!</definedName>
    <definedName name="RANGEQUERY11_F7_30_DEPVAL402">#REF!</definedName>
    <definedName name="RANGEQUERY11_F7_30_DEPVAL403">#REF!</definedName>
    <definedName name="RANGEQUERY11_F7_30_DEPVAL404">#REF!</definedName>
    <definedName name="RANGEQUERY11_F7_30_DEPVAL405">#REF!</definedName>
    <definedName name="RANGEQUERY11_F7_30_DEPVAL406">#REF!</definedName>
    <definedName name="RANGEQUERY11_F7_30_DEPVAL407">#REF!</definedName>
    <definedName name="RANGEQUERY11_F7_30_DEPVAL501">#REF!</definedName>
    <definedName name="RANGEQUERY11_F7_30_DEPVAL502">#REF!</definedName>
    <definedName name="RANGEQUERY11_F7_30_DEPVAL503">#REF!</definedName>
    <definedName name="RANGEQUERY11_F7_30_DEPVAL504">#REF!</definedName>
    <definedName name="RANGEQUERY11_F7_30_DEPVAL505">#REF!</definedName>
    <definedName name="RANGEQUERY11_F7_30_DEPVAL506">#REF!</definedName>
    <definedName name="RANGEQUERY11_F7_30_DEPVAL507">#REF!</definedName>
    <definedName name="RANGEQUERY11_F7_30_DEPVAL601">#REF!</definedName>
    <definedName name="RANGEQUERY11_F7_30_DEPVAL602">#REF!</definedName>
    <definedName name="RANGEQUERY11_F7_30_DEPVAL603">#REF!</definedName>
    <definedName name="RANGEQUERY11_F7_30_DEPVAL604">#REF!</definedName>
    <definedName name="RANGEQUERY11_F7_30_DEPVAL605">#REF!</definedName>
    <definedName name="RANGEQUERY11_F7_30_DEPVAL606">#REF!</definedName>
    <definedName name="RANGEQUERY11_F7_30_DEPVAL607">#REF!</definedName>
    <definedName name="RANGEQUERY11_F7_30_DEPVAL701">#REF!</definedName>
    <definedName name="RANGEQUERY11_F7_30_DEPVAL702">#REF!</definedName>
    <definedName name="RANGEQUERY11_F7_30_DEPVAL703">#REF!</definedName>
    <definedName name="RANGEQUERY11_F7_30_DEPVAL704">#REF!</definedName>
    <definedName name="RANGEQUERY11_F7_30_DEPVAL705">#REF!</definedName>
    <definedName name="RANGEQUERY11_F7_30_DEPVAL706">#REF!</definedName>
    <definedName name="RANGEQUERY11_F7_30_DEPVAL707">#REF!</definedName>
    <definedName name="RANGEQUERY11_F7_30_DEPVAL801">#REF!</definedName>
    <definedName name="RANGEQUERY11_F7_30_DEPVAL802">#REF!</definedName>
    <definedName name="RANGEQUERY11_F7_30_DEPVAL803">#REF!</definedName>
    <definedName name="RANGEQUERY11_F7_30_DEPVAL804">#REF!</definedName>
    <definedName name="RANGEQUERY11_F7_30_DEPVAL805">#REF!</definedName>
    <definedName name="RANGEQUERY11_F7_30_DEPVAL806">#REF!</definedName>
    <definedName name="RANGEQUERY11_F7_30_DEPVAL807">#REF!</definedName>
    <definedName name="RANGEQUERY11_F7_30_DEPVAL901">#REF!</definedName>
    <definedName name="RANGEQUERY11_F7_30_DEPVAL902">#REF!</definedName>
    <definedName name="RANGEQUERY11_F7_30_DEPVAL903">#REF!</definedName>
    <definedName name="RANGEQUERY11_F7_30_DEPVAL904">#REF!</definedName>
    <definedName name="RANGEQUERY11_F7_30_DEPVAL905">#REF!</definedName>
    <definedName name="RANGEQUERY11_F7_30_DEPVAL906">#REF!</definedName>
    <definedName name="RANGEQUERY11_F7_30_DEPVAL907">#REF!</definedName>
    <definedName name="RANGEQUERY12_F7_30_DEPRUB1001">#REF!</definedName>
    <definedName name="RANGEQUERY12_F7_30_DEPRUB1002">#REF!</definedName>
    <definedName name="RANGEQUERY12_F7_30_DEPRUB1003">#REF!</definedName>
    <definedName name="RANGEQUERY12_F7_30_DEPRUB1004">#REF!</definedName>
    <definedName name="RANGEQUERY12_F7_30_DEPRUB1005">#REF!</definedName>
    <definedName name="RANGEQUERY12_F7_30_DEPRUB1006">#REF!</definedName>
    <definedName name="RANGEQUERY12_F7_30_DEPRUB1007">#REF!</definedName>
    <definedName name="RANGEQUERY12_F7_30_DEPRUB1101">#REF!</definedName>
    <definedName name="RANGEQUERY12_F7_30_DEPRUB1102">#REF!</definedName>
    <definedName name="RANGEQUERY12_F7_30_DEPRUB1103">#REF!</definedName>
    <definedName name="RANGEQUERY12_F7_30_DEPRUB1104">#REF!</definedName>
    <definedName name="RANGEQUERY12_F7_30_DEPRUB1105">#REF!</definedName>
    <definedName name="RANGEQUERY12_F7_30_DEPRUB1106">#REF!</definedName>
    <definedName name="RANGEQUERY12_F7_30_DEPRUB1107">#REF!</definedName>
    <definedName name="RANGEQUERY12_F7_30_DEPRUB1201">#REF!</definedName>
    <definedName name="RANGEQUERY12_F7_30_DEPRUB1202">#REF!</definedName>
    <definedName name="RANGEQUERY12_F7_30_DEPRUB1203">#REF!</definedName>
    <definedName name="RANGEQUERY12_F7_30_DEPRUB1204">#REF!</definedName>
    <definedName name="RANGEQUERY12_F7_30_DEPRUB1205">#REF!</definedName>
    <definedName name="RANGEQUERY12_F7_30_DEPRUB1206">#REF!</definedName>
    <definedName name="RANGEQUERY12_F7_30_DEPRUB1207">#REF!</definedName>
    <definedName name="RANGEQUERY12_F7_30_DEPRUB1301">#REF!</definedName>
    <definedName name="RANGEQUERY12_F7_30_DEPRUB1302">#REF!</definedName>
    <definedName name="RANGEQUERY12_F7_30_DEPRUB1303">#REF!</definedName>
    <definedName name="RANGEQUERY12_F7_30_DEPRUB1304">#REF!</definedName>
    <definedName name="RANGEQUERY12_F7_30_DEPRUB1305">#REF!</definedName>
    <definedName name="RANGEQUERY12_F7_30_DEPRUB1306">#REF!</definedName>
    <definedName name="RANGEQUERY12_F7_30_DEPRUB1307">#REF!</definedName>
    <definedName name="RANGEQUERY12_F7_30_DEPRUB1401">#REF!</definedName>
    <definedName name="RANGEQUERY12_F7_30_DEPRUB1402">#REF!</definedName>
    <definedName name="RANGEQUERY12_F7_30_DEPRUB1403">#REF!</definedName>
    <definedName name="RANGEQUERY12_F7_30_DEPRUB1404">#REF!</definedName>
    <definedName name="RANGEQUERY12_F7_30_DEPRUB1405">#REF!</definedName>
    <definedName name="RANGEQUERY12_F7_30_DEPRUB1406">#REF!</definedName>
    <definedName name="RANGEQUERY12_F7_30_DEPRUB1407">#REF!</definedName>
    <definedName name="RANGEQUERY12_F7_30_DEPRUB1501">#REF!</definedName>
    <definedName name="RANGEQUERY12_F7_30_DEPRUB1502">#REF!</definedName>
    <definedName name="RANGEQUERY12_F7_30_DEPRUB1503">#REF!</definedName>
    <definedName name="RANGEQUERY12_F7_30_DEPRUB1504">#REF!</definedName>
    <definedName name="RANGEQUERY12_F7_30_DEPRUB1505">#REF!</definedName>
    <definedName name="RANGEQUERY12_F7_30_DEPRUB1506">#REF!</definedName>
    <definedName name="RANGEQUERY12_F7_30_DEPRUB1507">#REF!</definedName>
    <definedName name="RANGEQUERY12_F7_30_DEPRUB1601">#REF!</definedName>
    <definedName name="RANGEQUERY12_F7_30_DEPRUB1602">#REF!</definedName>
    <definedName name="RANGEQUERY12_F7_30_DEPRUB1603">#REF!</definedName>
    <definedName name="RANGEQUERY12_F7_30_DEPRUB1604">#REF!</definedName>
    <definedName name="RANGEQUERY12_F7_30_DEPRUB1605">#REF!</definedName>
    <definedName name="RANGEQUERY12_F7_30_DEPRUB1606">#REF!</definedName>
    <definedName name="RANGEQUERY12_F7_30_DEPRUB1607">#REF!</definedName>
    <definedName name="RANGEQUERY12_F7_30_DEPRUB1701">#REF!</definedName>
    <definedName name="RANGEQUERY12_F7_30_DEPRUB1702">#REF!</definedName>
    <definedName name="RANGEQUERY12_F7_30_DEPRUB1703">#REF!</definedName>
    <definedName name="RANGEQUERY12_F7_30_DEPRUB1704">#REF!</definedName>
    <definedName name="RANGEQUERY12_F7_30_DEPRUB1705">#REF!</definedName>
    <definedName name="RANGEQUERY12_F7_30_DEPRUB1706">#REF!</definedName>
    <definedName name="RANGEQUERY12_F7_30_DEPRUB1707">#REF!</definedName>
    <definedName name="RANGEQUERY12_F7_30_DEPRUB201">#REF!</definedName>
    <definedName name="RANGEQUERY12_F7_30_DEPRUB202">#REF!</definedName>
    <definedName name="RANGEQUERY12_F7_30_DEPRUB203">#REF!</definedName>
    <definedName name="RANGEQUERY12_F7_30_DEPRUB204">#REF!</definedName>
    <definedName name="RANGEQUERY12_F7_30_DEPRUB205">#REF!</definedName>
    <definedName name="RANGEQUERY12_F7_30_DEPRUB206">#REF!</definedName>
    <definedName name="RANGEQUERY12_F7_30_DEPRUB207">#REF!</definedName>
    <definedName name="RANGEQUERY12_F7_30_DEPRUB301">#REF!</definedName>
    <definedName name="RANGEQUERY12_F7_30_DEPRUB302">#REF!</definedName>
    <definedName name="RANGEQUERY12_F7_30_DEPRUB303">#REF!</definedName>
    <definedName name="RANGEQUERY12_F7_30_DEPRUB304">#REF!</definedName>
    <definedName name="RANGEQUERY12_F7_30_DEPRUB305">#REF!</definedName>
    <definedName name="RANGEQUERY12_F7_30_DEPRUB306">#REF!</definedName>
    <definedName name="RANGEQUERY12_F7_30_DEPRUB307">#REF!</definedName>
    <definedName name="RANGEQUERY12_F7_30_DEPRUB401">#REF!</definedName>
    <definedName name="RANGEQUERY12_F7_30_DEPRUB402">#REF!</definedName>
    <definedName name="RANGEQUERY12_F7_30_DEPRUB403">#REF!</definedName>
    <definedName name="RANGEQUERY12_F7_30_DEPRUB404">#REF!</definedName>
    <definedName name="RANGEQUERY12_F7_30_DEPRUB405">#REF!</definedName>
    <definedName name="RANGEQUERY12_F7_30_DEPRUB406">#REF!</definedName>
    <definedName name="RANGEQUERY12_F7_30_DEPRUB407">#REF!</definedName>
    <definedName name="RANGEQUERY12_F7_30_DEPRUB501">#REF!</definedName>
    <definedName name="RANGEQUERY12_F7_30_DEPRUB502">#REF!</definedName>
    <definedName name="RANGEQUERY12_F7_30_DEPRUB503">#REF!</definedName>
    <definedName name="RANGEQUERY12_F7_30_DEPRUB504">#REF!</definedName>
    <definedName name="RANGEQUERY12_F7_30_DEPRUB505">#REF!</definedName>
    <definedName name="RANGEQUERY12_F7_30_DEPRUB506">#REF!</definedName>
    <definedName name="RANGEQUERY12_F7_30_DEPRUB507">#REF!</definedName>
    <definedName name="RANGEQUERY12_F7_30_DEPRUB601">#REF!</definedName>
    <definedName name="RANGEQUERY12_F7_30_DEPRUB602">#REF!</definedName>
    <definedName name="RANGEQUERY12_F7_30_DEPRUB603">#REF!</definedName>
    <definedName name="RANGEQUERY12_F7_30_DEPRUB604">#REF!</definedName>
    <definedName name="RANGEQUERY12_F7_30_DEPRUB605">#REF!</definedName>
    <definedName name="RANGEQUERY12_F7_30_DEPRUB606">#REF!</definedName>
    <definedName name="RANGEQUERY12_F7_30_DEPRUB607">#REF!</definedName>
    <definedName name="RANGEQUERY12_F7_30_DEPRUB701">#REF!</definedName>
    <definedName name="RANGEQUERY12_F7_30_DEPRUB702">#REF!</definedName>
    <definedName name="RANGEQUERY12_F7_30_DEPRUB703">#REF!</definedName>
    <definedName name="RANGEQUERY12_F7_30_DEPRUB704">#REF!</definedName>
    <definedName name="RANGEQUERY12_F7_30_DEPRUB705">#REF!</definedName>
    <definedName name="RANGEQUERY12_F7_30_DEPRUB706">#REF!</definedName>
    <definedName name="RANGEQUERY12_F7_30_DEPRUB707">#REF!</definedName>
    <definedName name="RANGEQUERY12_F7_30_DEPRUB801">#REF!</definedName>
    <definedName name="RANGEQUERY12_F7_30_DEPRUB802">#REF!</definedName>
    <definedName name="RANGEQUERY12_F7_30_DEPRUB803">#REF!</definedName>
    <definedName name="RANGEQUERY12_F7_30_DEPRUB804">#REF!</definedName>
    <definedName name="RANGEQUERY12_F7_30_DEPRUB805">#REF!</definedName>
    <definedName name="RANGEQUERY12_F7_30_DEPRUB806">#REF!</definedName>
    <definedName name="RANGEQUERY12_F7_30_DEPRUB807">#REF!</definedName>
    <definedName name="RANGEQUERY12_F7_30_DEPRUB901">#REF!</definedName>
    <definedName name="RANGEQUERY12_F7_30_DEPRUB902">#REF!</definedName>
    <definedName name="RANGEQUERY12_F7_30_DEPRUB903">#REF!</definedName>
    <definedName name="RANGEQUERY12_F7_30_DEPRUB904">#REF!</definedName>
    <definedName name="RANGEQUERY12_F7_30_DEPRUB905">#REF!</definedName>
    <definedName name="RANGEQUERY12_F7_30_DEPRUB906">#REF!</definedName>
    <definedName name="RANGEQUERY12_F7_30_DEPRUB907">#REF!</definedName>
    <definedName name="RANGEQUERY12_F7_30_DEPVAL1001">#REF!</definedName>
    <definedName name="RANGEQUERY12_F7_30_DEPVAL1002">#REF!</definedName>
    <definedName name="RANGEQUERY12_F7_30_DEPVAL1003">#REF!</definedName>
    <definedName name="RANGEQUERY12_F7_30_DEPVAL1004">#REF!</definedName>
    <definedName name="RANGEQUERY12_F7_30_DEPVAL1005">#REF!</definedName>
    <definedName name="RANGEQUERY12_F7_30_DEPVAL1006">#REF!</definedName>
    <definedName name="RANGEQUERY12_F7_30_DEPVAL1007">#REF!</definedName>
    <definedName name="RANGEQUERY12_F7_30_DEPVAL1101">#REF!</definedName>
    <definedName name="RANGEQUERY12_F7_30_DEPVAL1102">#REF!</definedName>
    <definedName name="RANGEQUERY12_F7_30_DEPVAL1103">#REF!</definedName>
    <definedName name="RANGEQUERY12_F7_30_DEPVAL1104">#REF!</definedName>
    <definedName name="RANGEQUERY12_F7_30_DEPVAL1105">#REF!</definedName>
    <definedName name="RANGEQUERY12_F7_30_DEPVAL1106">#REF!</definedName>
    <definedName name="RANGEQUERY12_F7_30_DEPVAL1107">#REF!</definedName>
    <definedName name="RANGEQUERY12_F7_30_DEPVAL1201">#REF!</definedName>
    <definedName name="RANGEQUERY12_F7_30_DEPVAL1202">#REF!</definedName>
    <definedName name="RANGEQUERY12_F7_30_DEPVAL1203">#REF!</definedName>
    <definedName name="RANGEQUERY12_F7_30_DEPVAL1204">#REF!</definedName>
    <definedName name="RANGEQUERY12_F7_30_DEPVAL1205">#REF!</definedName>
    <definedName name="RANGEQUERY12_F7_30_DEPVAL1206">#REF!</definedName>
    <definedName name="RANGEQUERY12_F7_30_DEPVAL1207">#REF!</definedName>
    <definedName name="RANGEQUERY12_F7_30_DEPVAL1301">#REF!</definedName>
    <definedName name="RANGEQUERY12_F7_30_DEPVAL1302">#REF!</definedName>
    <definedName name="RANGEQUERY12_F7_30_DEPVAL1303">#REF!</definedName>
    <definedName name="RANGEQUERY12_F7_30_DEPVAL1304">#REF!</definedName>
    <definedName name="RANGEQUERY12_F7_30_DEPVAL1305">#REF!</definedName>
    <definedName name="RANGEQUERY12_F7_30_DEPVAL1306">#REF!</definedName>
    <definedName name="RANGEQUERY12_F7_30_DEPVAL1307">#REF!</definedName>
    <definedName name="RANGEQUERY12_F7_30_DEPVAL1401">#REF!</definedName>
    <definedName name="RANGEQUERY12_F7_30_DEPVAL1402">#REF!</definedName>
    <definedName name="RANGEQUERY12_F7_30_DEPVAL1403">#REF!</definedName>
    <definedName name="RANGEQUERY12_F7_30_DEPVAL1404">#REF!</definedName>
    <definedName name="RANGEQUERY12_F7_30_DEPVAL1405">#REF!</definedName>
    <definedName name="RANGEQUERY12_F7_30_DEPVAL1406">#REF!</definedName>
    <definedName name="RANGEQUERY12_F7_30_DEPVAL1407">#REF!</definedName>
    <definedName name="RANGEQUERY12_F7_30_DEPVAL1501">#REF!</definedName>
    <definedName name="RANGEQUERY12_F7_30_DEPVAL1502">#REF!</definedName>
    <definedName name="RANGEQUERY12_F7_30_DEPVAL1503">#REF!</definedName>
    <definedName name="RANGEQUERY12_F7_30_DEPVAL1504">#REF!</definedName>
    <definedName name="RANGEQUERY12_F7_30_DEPVAL1505">#REF!</definedName>
    <definedName name="RANGEQUERY12_F7_30_DEPVAL1506">#REF!</definedName>
    <definedName name="RANGEQUERY12_F7_30_DEPVAL1507">#REF!</definedName>
    <definedName name="RANGEQUERY12_F7_30_DEPVAL1601">#REF!</definedName>
    <definedName name="RANGEQUERY12_F7_30_DEPVAL1602">#REF!</definedName>
    <definedName name="RANGEQUERY12_F7_30_DEPVAL1603">#REF!</definedName>
    <definedName name="RANGEQUERY12_F7_30_DEPVAL1604">#REF!</definedName>
    <definedName name="RANGEQUERY12_F7_30_DEPVAL1605">#REF!</definedName>
    <definedName name="RANGEQUERY12_F7_30_DEPVAL1606">#REF!</definedName>
    <definedName name="RANGEQUERY12_F7_30_DEPVAL1607">#REF!</definedName>
    <definedName name="RANGEQUERY12_F7_30_DEPVAL1701">#REF!</definedName>
    <definedName name="RANGEQUERY12_F7_30_DEPVAL1702">#REF!</definedName>
    <definedName name="RANGEQUERY12_F7_30_DEPVAL1703">#REF!</definedName>
    <definedName name="RANGEQUERY12_F7_30_DEPVAL1704">#REF!</definedName>
    <definedName name="RANGEQUERY12_F7_30_DEPVAL1705">#REF!</definedName>
    <definedName name="RANGEQUERY12_F7_30_DEPVAL1706">#REF!</definedName>
    <definedName name="RANGEQUERY12_F7_30_DEPVAL1707">#REF!</definedName>
    <definedName name="RANGEQUERY12_F7_30_DEPVAL201">#REF!</definedName>
    <definedName name="RANGEQUERY12_F7_30_DEPVAL202">#REF!</definedName>
    <definedName name="RANGEQUERY12_F7_30_DEPVAL203">#REF!</definedName>
    <definedName name="RANGEQUERY12_F7_30_DEPVAL204">#REF!</definedName>
    <definedName name="RANGEQUERY12_F7_30_DEPVAL205">#REF!</definedName>
    <definedName name="RANGEQUERY12_F7_30_DEPVAL206">#REF!</definedName>
    <definedName name="RANGEQUERY12_F7_30_DEPVAL207">#REF!</definedName>
    <definedName name="RANGEQUERY12_F7_30_DEPVAL301">#REF!</definedName>
    <definedName name="RANGEQUERY12_F7_30_DEPVAL302">#REF!</definedName>
    <definedName name="RANGEQUERY12_F7_30_DEPVAL303">#REF!</definedName>
    <definedName name="RANGEQUERY12_F7_30_DEPVAL304">#REF!</definedName>
    <definedName name="RANGEQUERY12_F7_30_DEPVAL305">#REF!</definedName>
    <definedName name="RANGEQUERY12_F7_30_DEPVAL306">#REF!</definedName>
    <definedName name="RANGEQUERY12_F7_30_DEPVAL307">#REF!</definedName>
    <definedName name="RANGEQUERY12_F7_30_DEPVAL401">#REF!</definedName>
    <definedName name="RANGEQUERY12_F7_30_DEPVAL402">#REF!</definedName>
    <definedName name="RANGEQUERY12_F7_30_DEPVAL403">#REF!</definedName>
    <definedName name="RANGEQUERY12_F7_30_DEPVAL404">#REF!</definedName>
    <definedName name="RANGEQUERY12_F7_30_DEPVAL405">#REF!</definedName>
    <definedName name="RANGEQUERY12_F7_30_DEPVAL406">#REF!</definedName>
    <definedName name="RANGEQUERY12_F7_30_DEPVAL407">#REF!</definedName>
    <definedName name="RANGEQUERY12_F7_30_DEPVAL501">#REF!</definedName>
    <definedName name="RANGEQUERY12_F7_30_DEPVAL502">#REF!</definedName>
    <definedName name="RANGEQUERY12_F7_30_DEPVAL503">#REF!</definedName>
    <definedName name="RANGEQUERY12_F7_30_DEPVAL504">#REF!</definedName>
    <definedName name="RANGEQUERY12_F7_30_DEPVAL505">#REF!</definedName>
    <definedName name="RANGEQUERY12_F7_30_DEPVAL506">#REF!</definedName>
    <definedName name="RANGEQUERY12_F7_30_DEPVAL507">#REF!</definedName>
    <definedName name="RANGEQUERY12_F7_30_DEPVAL601">#REF!</definedName>
    <definedName name="RANGEQUERY12_F7_30_DEPVAL602">#REF!</definedName>
    <definedName name="RANGEQUERY12_F7_30_DEPVAL603">#REF!</definedName>
    <definedName name="RANGEQUERY12_F7_30_DEPVAL604">#REF!</definedName>
    <definedName name="RANGEQUERY12_F7_30_DEPVAL605">#REF!</definedName>
    <definedName name="RANGEQUERY12_F7_30_DEPVAL606">#REF!</definedName>
    <definedName name="RANGEQUERY12_F7_30_DEPVAL607">#REF!</definedName>
    <definedName name="RANGEQUERY12_F7_30_DEPVAL701">#REF!</definedName>
    <definedName name="RANGEQUERY12_F7_30_DEPVAL702">#REF!</definedName>
    <definedName name="RANGEQUERY12_F7_30_DEPVAL703">#REF!</definedName>
    <definedName name="RANGEQUERY12_F7_30_DEPVAL704">#REF!</definedName>
    <definedName name="RANGEQUERY12_F7_30_DEPVAL705">#REF!</definedName>
    <definedName name="RANGEQUERY12_F7_30_DEPVAL706">#REF!</definedName>
    <definedName name="RANGEQUERY12_F7_30_DEPVAL707">#REF!</definedName>
    <definedName name="RANGEQUERY12_F7_30_DEPVAL801">#REF!</definedName>
    <definedName name="RANGEQUERY12_F7_30_DEPVAL802">#REF!</definedName>
    <definedName name="RANGEQUERY12_F7_30_DEPVAL803">#REF!</definedName>
    <definedName name="RANGEQUERY12_F7_30_DEPVAL804">#REF!</definedName>
    <definedName name="RANGEQUERY12_F7_30_DEPVAL805">#REF!</definedName>
    <definedName name="RANGEQUERY12_F7_30_DEPVAL806">#REF!</definedName>
    <definedName name="RANGEQUERY12_F7_30_DEPVAL807">#REF!</definedName>
    <definedName name="RANGEQUERY12_F7_30_DEPVAL901">#REF!</definedName>
    <definedName name="RANGEQUERY12_F7_30_DEPVAL902">#REF!</definedName>
    <definedName name="RANGEQUERY12_F7_30_DEPVAL903">#REF!</definedName>
    <definedName name="RANGEQUERY12_F7_30_DEPVAL904">#REF!</definedName>
    <definedName name="RANGEQUERY12_F7_30_DEPVAL905">#REF!</definedName>
    <definedName name="RANGEQUERY12_F7_30_DEPVAL906">#REF!</definedName>
    <definedName name="RANGEQUERY12_F7_30_DEPVAL907">#REF!</definedName>
    <definedName name="RANGEQUERY13_F7_30_DEPRUB1001">#REF!</definedName>
    <definedName name="RANGEQUERY13_F7_30_DEPRUB1002">#REF!</definedName>
    <definedName name="RANGEQUERY13_F7_30_DEPRUB1003">#REF!</definedName>
    <definedName name="RANGEQUERY13_F7_30_DEPRUB1004">#REF!</definedName>
    <definedName name="RANGEQUERY13_F7_30_DEPRUB1005">#REF!</definedName>
    <definedName name="RANGEQUERY13_F7_30_DEPRUB1006">#REF!</definedName>
    <definedName name="RANGEQUERY13_F7_30_DEPRUB1007">#REF!</definedName>
    <definedName name="RANGEQUERY13_F7_30_DEPRUB1101">#REF!</definedName>
    <definedName name="RANGEQUERY13_F7_30_DEPRUB1102">#REF!</definedName>
    <definedName name="RANGEQUERY13_F7_30_DEPRUB1103">#REF!</definedName>
    <definedName name="RANGEQUERY13_F7_30_DEPRUB1104">#REF!</definedName>
    <definedName name="RANGEQUERY13_F7_30_DEPRUB1105">#REF!</definedName>
    <definedName name="RANGEQUERY13_F7_30_DEPRUB1106">#REF!</definedName>
    <definedName name="RANGEQUERY13_F7_30_DEPRUB1107">#REF!</definedName>
    <definedName name="RANGEQUERY13_F7_30_DEPRUB1201">#REF!</definedName>
    <definedName name="RANGEQUERY13_F7_30_DEPRUB1202">#REF!</definedName>
    <definedName name="RANGEQUERY13_F7_30_DEPRUB1203">#REF!</definedName>
    <definedName name="RANGEQUERY13_F7_30_DEPRUB1204">#REF!</definedName>
    <definedName name="RANGEQUERY13_F7_30_DEPRUB1205">#REF!</definedName>
    <definedName name="RANGEQUERY13_F7_30_DEPRUB1206">#REF!</definedName>
    <definedName name="RANGEQUERY13_F7_30_DEPRUB1207">#REF!</definedName>
    <definedName name="RANGEQUERY13_F7_30_DEPRUB1301">#REF!</definedName>
    <definedName name="RANGEQUERY13_F7_30_DEPRUB1302">#REF!</definedName>
    <definedName name="RANGEQUERY13_F7_30_DEPRUB1303">#REF!</definedName>
    <definedName name="RANGEQUERY13_F7_30_DEPRUB1304">#REF!</definedName>
    <definedName name="RANGEQUERY13_F7_30_DEPRUB1305">#REF!</definedName>
    <definedName name="RANGEQUERY13_F7_30_DEPRUB1306">#REF!</definedName>
    <definedName name="RANGEQUERY13_F7_30_DEPRUB1307">#REF!</definedName>
    <definedName name="RANGEQUERY13_F7_30_DEPRUB1401">#REF!</definedName>
    <definedName name="RANGEQUERY13_F7_30_DEPRUB1402">#REF!</definedName>
    <definedName name="RANGEQUERY13_F7_30_DEPRUB1403">#REF!</definedName>
    <definedName name="RANGEQUERY13_F7_30_DEPRUB1404">#REF!</definedName>
    <definedName name="RANGEQUERY13_F7_30_DEPRUB1405">#REF!</definedName>
    <definedName name="RANGEQUERY13_F7_30_DEPRUB1406">#REF!</definedName>
    <definedName name="RANGEQUERY13_F7_30_DEPRUB1407">#REF!</definedName>
    <definedName name="RANGEQUERY13_F7_30_DEPRUB1501">#REF!</definedName>
    <definedName name="RANGEQUERY13_F7_30_DEPRUB1502">#REF!</definedName>
    <definedName name="RANGEQUERY13_F7_30_DEPRUB1503">#REF!</definedName>
    <definedName name="RANGEQUERY13_F7_30_DEPRUB1504">#REF!</definedName>
    <definedName name="RANGEQUERY13_F7_30_DEPRUB1505">#REF!</definedName>
    <definedName name="RANGEQUERY13_F7_30_DEPRUB1506">#REF!</definedName>
    <definedName name="RANGEQUERY13_F7_30_DEPRUB1507">#REF!</definedName>
    <definedName name="RANGEQUERY13_F7_30_DEPRUB1601">#REF!</definedName>
    <definedName name="RANGEQUERY13_F7_30_DEPRUB1602">#REF!</definedName>
    <definedName name="RANGEQUERY13_F7_30_DEPRUB1603">#REF!</definedName>
    <definedName name="RANGEQUERY13_F7_30_DEPRUB1604">#REF!</definedName>
    <definedName name="RANGEQUERY13_F7_30_DEPRUB1605">#REF!</definedName>
    <definedName name="RANGEQUERY13_F7_30_DEPRUB1606">#REF!</definedName>
    <definedName name="RANGEQUERY13_F7_30_DEPRUB1607">#REF!</definedName>
    <definedName name="RANGEQUERY13_F7_30_DEPRUB1701">#REF!</definedName>
    <definedName name="RANGEQUERY13_F7_30_DEPRUB1702">#REF!</definedName>
    <definedName name="RANGEQUERY13_F7_30_DEPRUB1703">#REF!</definedName>
    <definedName name="RANGEQUERY13_F7_30_DEPRUB1704">#REF!</definedName>
    <definedName name="RANGEQUERY13_F7_30_DEPRUB1705">#REF!</definedName>
    <definedName name="RANGEQUERY13_F7_30_DEPRUB1706">#REF!</definedName>
    <definedName name="RANGEQUERY13_F7_30_DEPRUB1707">#REF!</definedName>
    <definedName name="RANGEQUERY13_F7_30_DEPRUB201">#REF!</definedName>
    <definedName name="RANGEQUERY13_F7_30_DEPRUB202">#REF!</definedName>
    <definedName name="RANGEQUERY13_F7_30_DEPRUB203">#REF!</definedName>
    <definedName name="RANGEQUERY13_F7_30_DEPRUB204">#REF!</definedName>
    <definedName name="RANGEQUERY13_F7_30_DEPRUB205">#REF!</definedName>
    <definedName name="RANGEQUERY13_F7_30_DEPRUB206">#REF!</definedName>
    <definedName name="RANGEQUERY13_F7_30_DEPRUB207">#REF!</definedName>
    <definedName name="RANGEQUERY13_F7_30_DEPRUB301">#REF!</definedName>
    <definedName name="RANGEQUERY13_F7_30_DEPRUB302">#REF!</definedName>
    <definedName name="RANGEQUERY13_F7_30_DEPRUB303">#REF!</definedName>
    <definedName name="RANGEQUERY13_F7_30_DEPRUB304">#REF!</definedName>
    <definedName name="RANGEQUERY13_F7_30_DEPRUB305">#REF!</definedName>
    <definedName name="RANGEQUERY13_F7_30_DEPRUB306">#REF!</definedName>
    <definedName name="RANGEQUERY13_F7_30_DEPRUB307">#REF!</definedName>
    <definedName name="RANGEQUERY13_F7_30_DEPRUB401">#REF!</definedName>
    <definedName name="RANGEQUERY13_F7_30_DEPRUB402">#REF!</definedName>
    <definedName name="RANGEQUERY13_F7_30_DEPRUB403">#REF!</definedName>
    <definedName name="RANGEQUERY13_F7_30_DEPRUB404">#REF!</definedName>
    <definedName name="RANGEQUERY13_F7_30_DEPRUB405">#REF!</definedName>
    <definedName name="RANGEQUERY13_F7_30_DEPRUB406">#REF!</definedName>
    <definedName name="RANGEQUERY13_F7_30_DEPRUB407">#REF!</definedName>
    <definedName name="RANGEQUERY13_F7_30_DEPRUB501">#REF!</definedName>
    <definedName name="RANGEQUERY13_F7_30_DEPRUB502">#REF!</definedName>
    <definedName name="RANGEQUERY13_F7_30_DEPRUB503">#REF!</definedName>
    <definedName name="RANGEQUERY13_F7_30_DEPRUB504">#REF!</definedName>
    <definedName name="RANGEQUERY13_F7_30_DEPRUB505">#REF!</definedName>
    <definedName name="RANGEQUERY13_F7_30_DEPRUB506">#REF!</definedName>
    <definedName name="RANGEQUERY13_F7_30_DEPRUB507">#REF!</definedName>
    <definedName name="RANGEQUERY13_F7_30_DEPRUB601">#REF!</definedName>
    <definedName name="RANGEQUERY13_F7_30_DEPRUB602">#REF!</definedName>
    <definedName name="RANGEQUERY13_F7_30_DEPRUB603">#REF!</definedName>
    <definedName name="RANGEQUERY13_F7_30_DEPRUB604">#REF!</definedName>
    <definedName name="RANGEQUERY13_F7_30_DEPRUB605">#REF!</definedName>
    <definedName name="RANGEQUERY13_F7_30_DEPRUB606">#REF!</definedName>
    <definedName name="RANGEQUERY13_F7_30_DEPRUB607">#REF!</definedName>
    <definedName name="RANGEQUERY13_F7_30_DEPRUB701">#REF!</definedName>
    <definedName name="RANGEQUERY13_F7_30_DEPRUB702">#REF!</definedName>
    <definedName name="RANGEQUERY13_F7_30_DEPRUB703">#REF!</definedName>
    <definedName name="RANGEQUERY13_F7_30_DEPRUB704">#REF!</definedName>
    <definedName name="RANGEQUERY13_F7_30_DEPRUB705">#REF!</definedName>
    <definedName name="RANGEQUERY13_F7_30_DEPRUB706">#REF!</definedName>
    <definedName name="RANGEQUERY13_F7_30_DEPRUB707">#REF!</definedName>
    <definedName name="RANGEQUERY13_F7_30_DEPRUB801">#REF!</definedName>
    <definedName name="RANGEQUERY13_F7_30_DEPRUB802">#REF!</definedName>
    <definedName name="RANGEQUERY13_F7_30_DEPRUB803">#REF!</definedName>
    <definedName name="RANGEQUERY13_F7_30_DEPRUB804">#REF!</definedName>
    <definedName name="RANGEQUERY13_F7_30_DEPRUB805">#REF!</definedName>
    <definedName name="RANGEQUERY13_F7_30_DEPRUB806">#REF!</definedName>
    <definedName name="RANGEQUERY13_F7_30_DEPRUB807">#REF!</definedName>
    <definedName name="RANGEQUERY13_F7_30_DEPRUB901">#REF!</definedName>
    <definedName name="RANGEQUERY13_F7_30_DEPRUB902">#REF!</definedName>
    <definedName name="RANGEQUERY13_F7_30_DEPRUB903">#REF!</definedName>
    <definedName name="RANGEQUERY13_F7_30_DEPRUB904">#REF!</definedName>
    <definedName name="RANGEQUERY13_F7_30_DEPRUB905">#REF!</definedName>
    <definedName name="RANGEQUERY13_F7_30_DEPRUB906">#REF!</definedName>
    <definedName name="RANGEQUERY13_F7_30_DEPRUB907">#REF!</definedName>
    <definedName name="RANGEQUERY13_F7_30_DEPVAL1001">#REF!</definedName>
    <definedName name="RANGEQUERY13_F7_30_DEPVAL1002">#REF!</definedName>
    <definedName name="RANGEQUERY13_F7_30_DEPVAL1003">#REF!</definedName>
    <definedName name="RANGEQUERY13_F7_30_DEPVAL1004">#REF!</definedName>
    <definedName name="RANGEQUERY13_F7_30_DEPVAL1005">#REF!</definedName>
    <definedName name="RANGEQUERY13_F7_30_DEPVAL1006">#REF!</definedName>
    <definedName name="RANGEQUERY13_F7_30_DEPVAL1007">#REF!</definedName>
    <definedName name="RANGEQUERY13_F7_30_DEPVAL1101">#REF!</definedName>
    <definedName name="RANGEQUERY13_F7_30_DEPVAL1102">#REF!</definedName>
    <definedName name="RANGEQUERY13_F7_30_DEPVAL1103">#REF!</definedName>
    <definedName name="RANGEQUERY13_F7_30_DEPVAL1104">#REF!</definedName>
    <definedName name="RANGEQUERY13_F7_30_DEPVAL1105">#REF!</definedName>
    <definedName name="RANGEQUERY13_F7_30_DEPVAL1106">#REF!</definedName>
    <definedName name="RANGEQUERY13_F7_30_DEPVAL1107">#REF!</definedName>
    <definedName name="RANGEQUERY13_F7_30_DEPVAL1201">#REF!</definedName>
    <definedName name="RANGEQUERY13_F7_30_DEPVAL1202">#REF!</definedName>
    <definedName name="RANGEQUERY13_F7_30_DEPVAL1203">#REF!</definedName>
    <definedName name="RANGEQUERY13_F7_30_DEPVAL1204">#REF!</definedName>
    <definedName name="RANGEQUERY13_F7_30_DEPVAL1205">#REF!</definedName>
    <definedName name="RANGEQUERY13_F7_30_DEPVAL1206">#REF!</definedName>
    <definedName name="RANGEQUERY13_F7_30_DEPVAL1207">#REF!</definedName>
    <definedName name="RANGEQUERY13_F7_30_DEPVAL1301">#REF!</definedName>
    <definedName name="RANGEQUERY13_F7_30_DEPVAL1302">#REF!</definedName>
    <definedName name="RANGEQUERY13_F7_30_DEPVAL1303">#REF!</definedName>
    <definedName name="RANGEQUERY13_F7_30_DEPVAL1304">#REF!</definedName>
    <definedName name="RANGEQUERY13_F7_30_DEPVAL1305">#REF!</definedName>
    <definedName name="RANGEQUERY13_F7_30_DEPVAL1306">#REF!</definedName>
    <definedName name="RANGEQUERY13_F7_30_DEPVAL1307">#REF!</definedName>
    <definedName name="RANGEQUERY13_F7_30_DEPVAL1401">#REF!</definedName>
    <definedName name="RANGEQUERY13_F7_30_DEPVAL1402">#REF!</definedName>
    <definedName name="RANGEQUERY13_F7_30_DEPVAL1403">#REF!</definedName>
    <definedName name="RANGEQUERY13_F7_30_DEPVAL1404">#REF!</definedName>
    <definedName name="RANGEQUERY13_F7_30_DEPVAL1405">#REF!</definedName>
    <definedName name="RANGEQUERY13_F7_30_DEPVAL1406">#REF!</definedName>
    <definedName name="RANGEQUERY13_F7_30_DEPVAL1407">#REF!</definedName>
    <definedName name="RANGEQUERY13_F7_30_DEPVAL1501">#REF!</definedName>
    <definedName name="RANGEQUERY13_F7_30_DEPVAL1502">#REF!</definedName>
    <definedName name="RANGEQUERY13_F7_30_DEPVAL1503">#REF!</definedName>
    <definedName name="RANGEQUERY13_F7_30_DEPVAL1504">#REF!</definedName>
    <definedName name="RANGEQUERY13_F7_30_DEPVAL1505">#REF!</definedName>
    <definedName name="RANGEQUERY13_F7_30_DEPVAL1506">#REF!</definedName>
    <definedName name="RANGEQUERY13_F7_30_DEPVAL1507">#REF!</definedName>
    <definedName name="RANGEQUERY13_F7_30_DEPVAL1601">#REF!</definedName>
    <definedName name="RANGEQUERY13_F7_30_DEPVAL1602">#REF!</definedName>
    <definedName name="RANGEQUERY13_F7_30_DEPVAL1603">#REF!</definedName>
    <definedName name="RANGEQUERY13_F7_30_DEPVAL1604">#REF!</definedName>
    <definedName name="RANGEQUERY13_F7_30_DEPVAL1605">#REF!</definedName>
    <definedName name="RANGEQUERY13_F7_30_DEPVAL1606">#REF!</definedName>
    <definedName name="RANGEQUERY13_F7_30_DEPVAL1607">#REF!</definedName>
    <definedName name="RANGEQUERY13_F7_30_DEPVAL1701">#REF!</definedName>
    <definedName name="RANGEQUERY13_F7_30_DEPVAL1702">#REF!</definedName>
    <definedName name="RANGEQUERY13_F7_30_DEPVAL1703">#REF!</definedName>
    <definedName name="RANGEQUERY13_F7_30_DEPVAL1704">#REF!</definedName>
    <definedName name="RANGEQUERY13_F7_30_DEPVAL1705">#REF!</definedName>
    <definedName name="RANGEQUERY13_F7_30_DEPVAL1706">#REF!</definedName>
    <definedName name="RANGEQUERY13_F7_30_DEPVAL1707">#REF!</definedName>
    <definedName name="RANGEQUERY13_F7_30_DEPVAL201">#REF!</definedName>
    <definedName name="RANGEQUERY13_F7_30_DEPVAL202">#REF!</definedName>
    <definedName name="RANGEQUERY13_F7_30_DEPVAL203">#REF!</definedName>
    <definedName name="RANGEQUERY13_F7_30_DEPVAL204">#REF!</definedName>
    <definedName name="RANGEQUERY13_F7_30_DEPVAL205">#REF!</definedName>
    <definedName name="RANGEQUERY13_F7_30_DEPVAL206">#REF!</definedName>
    <definedName name="RANGEQUERY13_F7_30_DEPVAL207">#REF!</definedName>
    <definedName name="RANGEQUERY13_F7_30_DEPVAL301">#REF!</definedName>
    <definedName name="RANGEQUERY13_F7_30_DEPVAL302">#REF!</definedName>
    <definedName name="RANGEQUERY13_F7_30_DEPVAL303">#REF!</definedName>
    <definedName name="RANGEQUERY13_F7_30_DEPVAL304">#REF!</definedName>
    <definedName name="RANGEQUERY13_F7_30_DEPVAL305">#REF!</definedName>
    <definedName name="RANGEQUERY13_F7_30_DEPVAL306">#REF!</definedName>
    <definedName name="RANGEQUERY13_F7_30_DEPVAL307">#REF!</definedName>
    <definedName name="RANGEQUERY13_F7_30_DEPVAL401">#REF!</definedName>
    <definedName name="RANGEQUERY13_F7_30_DEPVAL402">#REF!</definedName>
    <definedName name="RANGEQUERY13_F7_30_DEPVAL403">#REF!</definedName>
    <definedName name="RANGEQUERY13_F7_30_DEPVAL404">#REF!</definedName>
    <definedName name="RANGEQUERY13_F7_30_DEPVAL405">#REF!</definedName>
    <definedName name="RANGEQUERY13_F7_30_DEPVAL406">#REF!</definedName>
    <definedName name="RANGEQUERY13_F7_30_DEPVAL407">#REF!</definedName>
    <definedName name="RANGEQUERY13_F7_30_DEPVAL501">#REF!</definedName>
    <definedName name="RANGEQUERY13_F7_30_DEPVAL502">#REF!</definedName>
    <definedName name="RANGEQUERY13_F7_30_DEPVAL503">#REF!</definedName>
    <definedName name="RANGEQUERY13_F7_30_DEPVAL504">#REF!</definedName>
    <definedName name="RANGEQUERY13_F7_30_DEPVAL505">#REF!</definedName>
    <definedName name="RANGEQUERY13_F7_30_DEPVAL506">#REF!</definedName>
    <definedName name="RANGEQUERY13_F7_30_DEPVAL507">#REF!</definedName>
    <definedName name="RANGEQUERY13_F7_30_DEPVAL601">#REF!</definedName>
    <definedName name="RANGEQUERY13_F7_30_DEPVAL602">#REF!</definedName>
    <definedName name="RANGEQUERY13_F7_30_DEPVAL603">#REF!</definedName>
    <definedName name="RANGEQUERY13_F7_30_DEPVAL604">#REF!</definedName>
    <definedName name="RANGEQUERY13_F7_30_DEPVAL605">#REF!</definedName>
    <definedName name="RANGEQUERY13_F7_30_DEPVAL606">#REF!</definedName>
    <definedName name="RANGEQUERY13_F7_30_DEPVAL607">#REF!</definedName>
    <definedName name="RANGEQUERY13_F7_30_DEPVAL701">#REF!</definedName>
    <definedName name="RANGEQUERY13_F7_30_DEPVAL702">#REF!</definedName>
    <definedName name="RANGEQUERY13_F7_30_DEPVAL703">#REF!</definedName>
    <definedName name="RANGEQUERY13_F7_30_DEPVAL704">#REF!</definedName>
    <definedName name="RANGEQUERY13_F7_30_DEPVAL705">#REF!</definedName>
    <definedName name="RANGEQUERY13_F7_30_DEPVAL706">#REF!</definedName>
    <definedName name="RANGEQUERY13_F7_30_DEPVAL707">#REF!</definedName>
    <definedName name="RANGEQUERY13_F7_30_DEPVAL801">#REF!</definedName>
    <definedName name="RANGEQUERY13_F7_30_DEPVAL802">#REF!</definedName>
    <definedName name="RANGEQUERY13_F7_30_DEPVAL803">#REF!</definedName>
    <definedName name="RANGEQUERY13_F7_30_DEPVAL804">#REF!</definedName>
    <definedName name="RANGEQUERY13_F7_30_DEPVAL805">#REF!</definedName>
    <definedName name="RANGEQUERY13_F7_30_DEPVAL806">#REF!</definedName>
    <definedName name="RANGEQUERY13_F7_30_DEPVAL807">#REF!</definedName>
    <definedName name="RANGEQUERY13_F7_30_DEPVAL901">#REF!</definedName>
    <definedName name="RANGEQUERY13_F7_30_DEPVAL902">#REF!</definedName>
    <definedName name="RANGEQUERY13_F7_30_DEPVAL903">#REF!</definedName>
    <definedName name="RANGEQUERY13_F7_30_DEPVAL904">#REF!</definedName>
    <definedName name="RANGEQUERY13_F7_30_DEPVAL905">#REF!</definedName>
    <definedName name="RANGEQUERY13_F7_30_DEPVAL906">#REF!</definedName>
    <definedName name="RANGEQUERY13_F7_30_DEPVAL907">#REF!</definedName>
    <definedName name="RANGEQUERY14_F7_30_DEPRUB1001">#REF!</definedName>
    <definedName name="RANGEQUERY14_F7_30_DEPRUB1002">#REF!</definedName>
    <definedName name="RANGEQUERY14_F7_30_DEPRUB1003">#REF!</definedName>
    <definedName name="RANGEQUERY14_F7_30_DEPRUB1004">#REF!</definedName>
    <definedName name="RANGEQUERY14_F7_30_DEPRUB1005">#REF!</definedName>
    <definedName name="RANGEQUERY14_F7_30_DEPRUB1006">#REF!</definedName>
    <definedName name="RANGEQUERY14_F7_30_DEPRUB1007">#REF!</definedName>
    <definedName name="RANGEQUERY14_F7_30_DEPRUB1101">#REF!</definedName>
    <definedName name="RANGEQUERY14_F7_30_DEPRUB1102">#REF!</definedName>
    <definedName name="RANGEQUERY14_F7_30_DEPRUB1103">#REF!</definedName>
    <definedName name="RANGEQUERY14_F7_30_DEPRUB1104">#REF!</definedName>
    <definedName name="RANGEQUERY14_F7_30_DEPRUB1105">#REF!</definedName>
    <definedName name="RANGEQUERY14_F7_30_DEPRUB1106">#REF!</definedName>
    <definedName name="RANGEQUERY14_F7_30_DEPRUB1107">#REF!</definedName>
    <definedName name="RANGEQUERY14_F7_30_DEPRUB1201">#REF!</definedName>
    <definedName name="RANGEQUERY14_F7_30_DEPRUB1202">#REF!</definedName>
    <definedName name="RANGEQUERY14_F7_30_DEPRUB1203">#REF!</definedName>
    <definedName name="RANGEQUERY14_F7_30_DEPRUB1204">#REF!</definedName>
    <definedName name="RANGEQUERY14_F7_30_DEPRUB1205">#REF!</definedName>
    <definedName name="RANGEQUERY14_F7_30_DEPRUB1206">#REF!</definedName>
    <definedName name="RANGEQUERY14_F7_30_DEPRUB1207">#REF!</definedName>
    <definedName name="RANGEQUERY14_F7_30_DEPRUB1301">#REF!</definedName>
    <definedName name="RANGEQUERY14_F7_30_DEPRUB1302">#REF!</definedName>
    <definedName name="RANGEQUERY14_F7_30_DEPRUB1303">#REF!</definedName>
    <definedName name="RANGEQUERY14_F7_30_DEPRUB1304">#REF!</definedName>
    <definedName name="RANGEQUERY14_F7_30_DEPRUB1305">#REF!</definedName>
    <definedName name="RANGEQUERY14_F7_30_DEPRUB1306">#REF!</definedName>
    <definedName name="RANGEQUERY14_F7_30_DEPRUB1307">#REF!</definedName>
    <definedName name="RANGEQUERY14_F7_30_DEPRUB1401">#REF!</definedName>
    <definedName name="RANGEQUERY14_F7_30_DEPRUB1402">#REF!</definedName>
    <definedName name="RANGEQUERY14_F7_30_DEPRUB1403">#REF!</definedName>
    <definedName name="RANGEQUERY14_F7_30_DEPRUB1404">#REF!</definedName>
    <definedName name="RANGEQUERY14_F7_30_DEPRUB1405">#REF!</definedName>
    <definedName name="RANGEQUERY14_F7_30_DEPRUB1406">#REF!</definedName>
    <definedName name="RANGEQUERY14_F7_30_DEPRUB1407">#REF!</definedName>
    <definedName name="RANGEQUERY14_F7_30_DEPRUB1501">#REF!</definedName>
    <definedName name="RANGEQUERY14_F7_30_DEPRUB1502">#REF!</definedName>
    <definedName name="RANGEQUERY14_F7_30_DEPRUB1503">#REF!</definedName>
    <definedName name="RANGEQUERY14_F7_30_DEPRUB1504">#REF!</definedName>
    <definedName name="RANGEQUERY14_F7_30_DEPRUB1505">#REF!</definedName>
    <definedName name="RANGEQUERY14_F7_30_DEPRUB1506">#REF!</definedName>
    <definedName name="RANGEQUERY14_F7_30_DEPRUB1507">#REF!</definedName>
    <definedName name="RANGEQUERY14_F7_30_DEPRUB1601">#REF!</definedName>
    <definedName name="RANGEQUERY14_F7_30_DEPRUB1602">#REF!</definedName>
    <definedName name="RANGEQUERY14_F7_30_DEPRUB1603">#REF!</definedName>
    <definedName name="RANGEQUERY14_F7_30_DEPRUB1604">#REF!</definedName>
    <definedName name="RANGEQUERY14_F7_30_DEPRUB1605">#REF!</definedName>
    <definedName name="RANGEQUERY14_F7_30_DEPRUB1606">#REF!</definedName>
    <definedName name="RANGEQUERY14_F7_30_DEPRUB1607">#REF!</definedName>
    <definedName name="RANGEQUERY14_F7_30_DEPRUB1701">#REF!</definedName>
    <definedName name="RANGEQUERY14_F7_30_DEPRUB1702">#REF!</definedName>
    <definedName name="RANGEQUERY14_F7_30_DEPRUB1703">#REF!</definedName>
    <definedName name="RANGEQUERY14_F7_30_DEPRUB1704">#REF!</definedName>
    <definedName name="RANGEQUERY14_F7_30_DEPRUB1705">#REF!</definedName>
    <definedName name="RANGEQUERY14_F7_30_DEPRUB1706">#REF!</definedName>
    <definedName name="RANGEQUERY14_F7_30_DEPRUB1707">#REF!</definedName>
    <definedName name="RANGEQUERY14_F7_30_DEPRUB201">#REF!</definedName>
    <definedName name="RANGEQUERY14_F7_30_DEPRUB202">#REF!</definedName>
    <definedName name="RANGEQUERY14_F7_30_DEPRUB203">#REF!</definedName>
    <definedName name="RANGEQUERY14_F7_30_DEPRUB204">#REF!</definedName>
    <definedName name="RANGEQUERY14_F7_30_DEPRUB205">#REF!</definedName>
    <definedName name="RANGEQUERY14_F7_30_DEPRUB206">#REF!</definedName>
    <definedName name="RANGEQUERY14_F7_30_DEPRUB207">#REF!</definedName>
    <definedName name="RANGEQUERY14_F7_30_DEPRUB301">#REF!</definedName>
    <definedName name="RANGEQUERY14_F7_30_DEPRUB302">#REF!</definedName>
    <definedName name="RANGEQUERY14_F7_30_DEPRUB303">#REF!</definedName>
    <definedName name="RANGEQUERY14_F7_30_DEPRUB304">#REF!</definedName>
    <definedName name="RANGEQUERY14_F7_30_DEPRUB305">#REF!</definedName>
    <definedName name="RANGEQUERY14_F7_30_DEPRUB306">#REF!</definedName>
    <definedName name="RANGEQUERY14_F7_30_DEPRUB307">#REF!</definedName>
    <definedName name="RANGEQUERY14_F7_30_DEPRUB401">#REF!</definedName>
    <definedName name="RANGEQUERY14_F7_30_DEPRUB402">#REF!</definedName>
    <definedName name="RANGEQUERY14_F7_30_DEPRUB403">#REF!</definedName>
    <definedName name="RANGEQUERY14_F7_30_DEPRUB404">#REF!</definedName>
    <definedName name="RANGEQUERY14_F7_30_DEPRUB405">#REF!</definedName>
    <definedName name="RANGEQUERY14_F7_30_DEPRUB406">#REF!</definedName>
    <definedName name="RANGEQUERY14_F7_30_DEPRUB407">#REF!</definedName>
    <definedName name="RANGEQUERY14_F7_30_DEPRUB501">#REF!</definedName>
    <definedName name="RANGEQUERY14_F7_30_DEPRUB502">#REF!</definedName>
    <definedName name="RANGEQUERY14_F7_30_DEPRUB503">#REF!</definedName>
    <definedName name="RANGEQUERY14_F7_30_DEPRUB504">#REF!</definedName>
    <definedName name="RANGEQUERY14_F7_30_DEPRUB505">#REF!</definedName>
    <definedName name="RANGEQUERY14_F7_30_DEPRUB506">#REF!</definedName>
    <definedName name="RANGEQUERY14_F7_30_DEPRUB507">#REF!</definedName>
    <definedName name="RANGEQUERY14_F7_30_DEPRUB601">#REF!</definedName>
    <definedName name="RANGEQUERY14_F7_30_DEPRUB602">#REF!</definedName>
    <definedName name="RANGEQUERY14_F7_30_DEPRUB603">#REF!</definedName>
    <definedName name="RANGEQUERY14_F7_30_DEPRUB604">#REF!</definedName>
    <definedName name="RANGEQUERY14_F7_30_DEPRUB605">#REF!</definedName>
    <definedName name="RANGEQUERY14_F7_30_DEPRUB606">#REF!</definedName>
    <definedName name="RANGEQUERY14_F7_30_DEPRUB607">#REF!</definedName>
    <definedName name="RANGEQUERY14_F7_30_DEPRUB701">#REF!</definedName>
    <definedName name="RANGEQUERY14_F7_30_DEPRUB702">#REF!</definedName>
    <definedName name="RANGEQUERY14_F7_30_DEPRUB703">#REF!</definedName>
    <definedName name="RANGEQUERY14_F7_30_DEPRUB704">#REF!</definedName>
    <definedName name="RANGEQUERY14_F7_30_DEPRUB705">#REF!</definedName>
    <definedName name="RANGEQUERY14_F7_30_DEPRUB706">#REF!</definedName>
    <definedName name="RANGEQUERY14_F7_30_DEPRUB707">#REF!</definedName>
    <definedName name="RANGEQUERY14_F7_30_DEPRUB801">#REF!</definedName>
    <definedName name="RANGEQUERY14_F7_30_DEPRUB802">#REF!</definedName>
    <definedName name="RANGEQUERY14_F7_30_DEPRUB803">#REF!</definedName>
    <definedName name="RANGEQUERY14_F7_30_DEPRUB804">#REF!</definedName>
    <definedName name="RANGEQUERY14_F7_30_DEPRUB805">#REF!</definedName>
    <definedName name="RANGEQUERY14_F7_30_DEPRUB806">#REF!</definedName>
    <definedName name="RANGEQUERY14_F7_30_DEPRUB807">#REF!</definedName>
    <definedName name="RANGEQUERY14_F7_30_DEPRUB901">#REF!</definedName>
    <definedName name="RANGEQUERY14_F7_30_DEPRUB902">#REF!</definedName>
    <definedName name="RANGEQUERY14_F7_30_DEPRUB903">#REF!</definedName>
    <definedName name="RANGEQUERY14_F7_30_DEPRUB904">#REF!</definedName>
    <definedName name="RANGEQUERY14_F7_30_DEPRUB905">#REF!</definedName>
    <definedName name="RANGEQUERY14_F7_30_DEPRUB906">#REF!</definedName>
    <definedName name="RANGEQUERY14_F7_30_DEPRUB907">#REF!</definedName>
    <definedName name="RANGEQUERY14_F7_30_DEPVAL1001">#REF!</definedName>
    <definedName name="RANGEQUERY14_F7_30_DEPVAL1002">#REF!</definedName>
    <definedName name="RANGEQUERY14_F7_30_DEPVAL1003">#REF!</definedName>
    <definedName name="RANGEQUERY14_F7_30_DEPVAL1004">#REF!</definedName>
    <definedName name="RANGEQUERY14_F7_30_DEPVAL1005">#REF!</definedName>
    <definedName name="RANGEQUERY14_F7_30_DEPVAL1006">#REF!</definedName>
    <definedName name="RANGEQUERY14_F7_30_DEPVAL1007">#REF!</definedName>
    <definedName name="RANGEQUERY14_F7_30_DEPVAL1101">#REF!</definedName>
    <definedName name="RANGEQUERY14_F7_30_DEPVAL1102">#REF!</definedName>
    <definedName name="RANGEQUERY14_F7_30_DEPVAL1103">#REF!</definedName>
    <definedName name="RANGEQUERY14_F7_30_DEPVAL1104">#REF!</definedName>
    <definedName name="RANGEQUERY14_F7_30_DEPVAL1105">#REF!</definedName>
    <definedName name="RANGEQUERY14_F7_30_DEPVAL1106">#REF!</definedName>
    <definedName name="RANGEQUERY14_F7_30_DEPVAL1107">#REF!</definedName>
    <definedName name="RANGEQUERY14_F7_30_DEPVAL1201">#REF!</definedName>
    <definedName name="RANGEQUERY14_F7_30_DEPVAL1202">#REF!</definedName>
    <definedName name="RANGEQUERY14_F7_30_DEPVAL1203">#REF!</definedName>
    <definedName name="RANGEQUERY14_F7_30_DEPVAL1204">#REF!</definedName>
    <definedName name="RANGEQUERY14_F7_30_DEPVAL1205">#REF!</definedName>
    <definedName name="RANGEQUERY14_F7_30_DEPVAL1206">#REF!</definedName>
    <definedName name="RANGEQUERY14_F7_30_DEPVAL1207">#REF!</definedName>
    <definedName name="RANGEQUERY14_F7_30_DEPVAL1301">#REF!</definedName>
    <definedName name="RANGEQUERY14_F7_30_DEPVAL1302">#REF!</definedName>
    <definedName name="RANGEQUERY14_F7_30_DEPVAL1303">#REF!</definedName>
    <definedName name="RANGEQUERY14_F7_30_DEPVAL1304">#REF!</definedName>
    <definedName name="RANGEQUERY14_F7_30_DEPVAL1305">#REF!</definedName>
    <definedName name="RANGEQUERY14_F7_30_DEPVAL1306">#REF!</definedName>
    <definedName name="RANGEQUERY14_F7_30_DEPVAL1307">#REF!</definedName>
    <definedName name="RANGEQUERY14_F7_30_DEPVAL1401">#REF!</definedName>
    <definedName name="RANGEQUERY14_F7_30_DEPVAL1402">#REF!</definedName>
    <definedName name="RANGEQUERY14_F7_30_DEPVAL1403">#REF!</definedName>
    <definedName name="RANGEQUERY14_F7_30_DEPVAL1404">#REF!</definedName>
    <definedName name="RANGEQUERY14_F7_30_DEPVAL1405">#REF!</definedName>
    <definedName name="RANGEQUERY14_F7_30_DEPVAL1406">#REF!</definedName>
    <definedName name="RANGEQUERY14_F7_30_DEPVAL1407">#REF!</definedName>
    <definedName name="RANGEQUERY14_F7_30_DEPVAL1501">#REF!</definedName>
    <definedName name="RANGEQUERY14_F7_30_DEPVAL1502">#REF!</definedName>
    <definedName name="RANGEQUERY14_F7_30_DEPVAL1503">#REF!</definedName>
    <definedName name="RANGEQUERY14_F7_30_DEPVAL1504">#REF!</definedName>
    <definedName name="RANGEQUERY14_F7_30_DEPVAL1505">#REF!</definedName>
    <definedName name="RANGEQUERY14_F7_30_DEPVAL1506">#REF!</definedName>
    <definedName name="RANGEQUERY14_F7_30_DEPVAL1507">#REF!</definedName>
    <definedName name="RANGEQUERY14_F7_30_DEPVAL1601">#REF!</definedName>
    <definedName name="RANGEQUERY14_F7_30_DEPVAL1602">#REF!</definedName>
    <definedName name="RANGEQUERY14_F7_30_DEPVAL1603">#REF!</definedName>
    <definedName name="RANGEQUERY14_F7_30_DEPVAL1604">#REF!</definedName>
    <definedName name="RANGEQUERY14_F7_30_DEPVAL1605">#REF!</definedName>
    <definedName name="RANGEQUERY14_F7_30_DEPVAL1606">#REF!</definedName>
    <definedName name="RANGEQUERY14_F7_30_DEPVAL1607">#REF!</definedName>
    <definedName name="RANGEQUERY14_F7_30_DEPVAL1701">#REF!</definedName>
    <definedName name="RANGEQUERY14_F7_30_DEPVAL1702">#REF!</definedName>
    <definedName name="RANGEQUERY14_F7_30_DEPVAL1703">#REF!</definedName>
    <definedName name="RANGEQUERY14_F7_30_DEPVAL1704">#REF!</definedName>
    <definedName name="RANGEQUERY14_F7_30_DEPVAL1705">#REF!</definedName>
    <definedName name="RANGEQUERY14_F7_30_DEPVAL1706">#REF!</definedName>
    <definedName name="RANGEQUERY14_F7_30_DEPVAL1707">#REF!</definedName>
    <definedName name="RANGEQUERY14_F7_30_DEPVAL201">#REF!</definedName>
    <definedName name="RANGEQUERY14_F7_30_DEPVAL202">#REF!</definedName>
    <definedName name="RANGEQUERY14_F7_30_DEPVAL203">#REF!</definedName>
    <definedName name="RANGEQUERY14_F7_30_DEPVAL204">#REF!</definedName>
    <definedName name="RANGEQUERY14_F7_30_DEPVAL205">#REF!</definedName>
    <definedName name="RANGEQUERY14_F7_30_DEPVAL206">#REF!</definedName>
    <definedName name="RANGEQUERY14_F7_30_DEPVAL207">#REF!</definedName>
    <definedName name="RANGEQUERY14_F7_30_DEPVAL301">#REF!</definedName>
    <definedName name="RANGEQUERY14_F7_30_DEPVAL302">#REF!</definedName>
    <definedName name="RANGEQUERY14_F7_30_DEPVAL303">#REF!</definedName>
    <definedName name="RANGEQUERY14_F7_30_DEPVAL304">#REF!</definedName>
    <definedName name="RANGEQUERY14_F7_30_DEPVAL305">#REF!</definedName>
    <definedName name="RANGEQUERY14_F7_30_DEPVAL306">#REF!</definedName>
    <definedName name="RANGEQUERY14_F7_30_DEPVAL307">#REF!</definedName>
    <definedName name="RANGEQUERY14_F7_30_DEPVAL401">#REF!</definedName>
    <definedName name="RANGEQUERY14_F7_30_DEPVAL402">#REF!</definedName>
    <definedName name="RANGEQUERY14_F7_30_DEPVAL403">#REF!</definedName>
    <definedName name="RANGEQUERY14_F7_30_DEPVAL404">#REF!</definedName>
    <definedName name="RANGEQUERY14_F7_30_DEPVAL405">#REF!</definedName>
    <definedName name="RANGEQUERY14_F7_30_DEPVAL406">#REF!</definedName>
    <definedName name="RANGEQUERY14_F7_30_DEPVAL407">#REF!</definedName>
    <definedName name="RANGEQUERY14_F7_30_DEPVAL501">#REF!</definedName>
    <definedName name="RANGEQUERY14_F7_30_DEPVAL502">#REF!</definedName>
    <definedName name="RANGEQUERY14_F7_30_DEPVAL503">#REF!</definedName>
    <definedName name="RANGEQUERY14_F7_30_DEPVAL504">#REF!</definedName>
    <definedName name="RANGEQUERY14_F7_30_DEPVAL505">#REF!</definedName>
    <definedName name="RANGEQUERY14_F7_30_DEPVAL506">#REF!</definedName>
    <definedName name="RANGEQUERY14_F7_30_DEPVAL507">#REF!</definedName>
    <definedName name="RANGEQUERY14_F7_30_DEPVAL601">#REF!</definedName>
    <definedName name="RANGEQUERY14_F7_30_DEPVAL602">#REF!</definedName>
    <definedName name="RANGEQUERY14_F7_30_DEPVAL603">#REF!</definedName>
    <definedName name="RANGEQUERY14_F7_30_DEPVAL604">#REF!</definedName>
    <definedName name="RANGEQUERY14_F7_30_DEPVAL605">#REF!</definedName>
    <definedName name="RANGEQUERY14_F7_30_DEPVAL606">#REF!</definedName>
    <definedName name="RANGEQUERY14_F7_30_DEPVAL607">#REF!</definedName>
    <definedName name="RANGEQUERY14_F7_30_DEPVAL701">#REF!</definedName>
    <definedName name="RANGEQUERY14_F7_30_DEPVAL702">#REF!</definedName>
    <definedName name="RANGEQUERY14_F7_30_DEPVAL703">#REF!</definedName>
    <definedName name="RANGEQUERY14_F7_30_DEPVAL704">#REF!</definedName>
    <definedName name="RANGEQUERY14_F7_30_DEPVAL705">#REF!</definedName>
    <definedName name="RANGEQUERY14_F7_30_DEPVAL706">#REF!</definedName>
    <definedName name="RANGEQUERY14_F7_30_DEPVAL707">#REF!</definedName>
    <definedName name="RANGEQUERY14_F7_30_DEPVAL801">#REF!</definedName>
    <definedName name="RANGEQUERY14_F7_30_DEPVAL802">#REF!</definedName>
    <definedName name="RANGEQUERY14_F7_30_DEPVAL803">#REF!</definedName>
    <definedName name="RANGEQUERY14_F7_30_DEPVAL804">#REF!</definedName>
    <definedName name="RANGEQUERY14_F7_30_DEPVAL805">#REF!</definedName>
    <definedName name="RANGEQUERY14_F7_30_DEPVAL806">#REF!</definedName>
    <definedName name="RANGEQUERY14_F7_30_DEPVAL807">#REF!</definedName>
    <definedName name="RANGEQUERY14_F7_30_DEPVAL901">#REF!</definedName>
    <definedName name="RANGEQUERY14_F7_30_DEPVAL902">#REF!</definedName>
    <definedName name="RANGEQUERY14_F7_30_DEPVAL903">#REF!</definedName>
    <definedName name="RANGEQUERY14_F7_30_DEPVAL904">#REF!</definedName>
    <definedName name="RANGEQUERY14_F7_30_DEPVAL905">#REF!</definedName>
    <definedName name="RANGEQUERY14_F7_30_DEPVAL906">#REF!</definedName>
    <definedName name="RANGEQUERY14_F7_30_DEPVAL907">#REF!</definedName>
    <definedName name="RANGEQUERY15_F7_30_DEPRUB1001">#REF!</definedName>
    <definedName name="RANGEQUERY15_F7_30_DEPRUB1002">#REF!</definedName>
    <definedName name="RANGEQUERY15_F7_30_DEPRUB1003">#REF!</definedName>
    <definedName name="RANGEQUERY15_F7_30_DEPRUB1004">#REF!</definedName>
    <definedName name="RANGEQUERY15_F7_30_DEPRUB1005">#REF!</definedName>
    <definedName name="RANGEQUERY15_F7_30_DEPRUB1006">#REF!</definedName>
    <definedName name="RANGEQUERY15_F7_30_DEPRUB1007">#REF!</definedName>
    <definedName name="RANGEQUERY15_F7_30_DEPRUB1101">#REF!</definedName>
    <definedName name="RANGEQUERY15_F7_30_DEPRUB1102">#REF!</definedName>
    <definedName name="RANGEQUERY15_F7_30_DEPRUB1103">#REF!</definedName>
    <definedName name="RANGEQUERY15_F7_30_DEPRUB1104">#REF!</definedName>
    <definedName name="RANGEQUERY15_F7_30_DEPRUB1105">#REF!</definedName>
    <definedName name="RANGEQUERY15_F7_30_DEPRUB1106">#REF!</definedName>
    <definedName name="RANGEQUERY15_F7_30_DEPRUB1107">#REF!</definedName>
    <definedName name="RANGEQUERY15_F7_30_DEPRUB1201">#REF!</definedName>
    <definedName name="RANGEQUERY15_F7_30_DEPRUB1202">#REF!</definedName>
    <definedName name="RANGEQUERY15_F7_30_DEPRUB1203">#REF!</definedName>
    <definedName name="RANGEQUERY15_F7_30_DEPRUB1204">#REF!</definedName>
    <definedName name="RANGEQUERY15_F7_30_DEPRUB1205">#REF!</definedName>
    <definedName name="RANGEQUERY15_F7_30_DEPRUB1206">#REF!</definedName>
    <definedName name="RANGEQUERY15_F7_30_DEPRUB1207">#REF!</definedName>
    <definedName name="RANGEQUERY15_F7_30_DEPRUB1301">#REF!</definedName>
    <definedName name="RANGEQUERY15_F7_30_DEPRUB1302">#REF!</definedName>
    <definedName name="RANGEQUERY15_F7_30_DEPRUB1303">#REF!</definedName>
    <definedName name="RANGEQUERY15_F7_30_DEPRUB1304">#REF!</definedName>
    <definedName name="RANGEQUERY15_F7_30_DEPRUB1305">#REF!</definedName>
    <definedName name="RANGEQUERY15_F7_30_DEPRUB1306">#REF!</definedName>
    <definedName name="RANGEQUERY15_F7_30_DEPRUB1307">#REF!</definedName>
    <definedName name="RANGEQUERY15_F7_30_DEPRUB1401">#REF!</definedName>
    <definedName name="RANGEQUERY15_F7_30_DEPRUB1402">#REF!</definedName>
    <definedName name="RANGEQUERY15_F7_30_DEPRUB1403">#REF!</definedName>
    <definedName name="RANGEQUERY15_F7_30_DEPRUB1404">#REF!</definedName>
    <definedName name="RANGEQUERY15_F7_30_DEPRUB1405">#REF!</definedName>
    <definedName name="RANGEQUERY15_F7_30_DEPRUB1406">#REF!</definedName>
    <definedName name="RANGEQUERY15_F7_30_DEPRUB1407">#REF!</definedName>
    <definedName name="RANGEQUERY15_F7_30_DEPRUB1501">#REF!</definedName>
    <definedName name="RANGEQUERY15_F7_30_DEPRUB1502">#REF!</definedName>
    <definedName name="RANGEQUERY15_F7_30_DEPRUB1503">#REF!</definedName>
    <definedName name="RANGEQUERY15_F7_30_DEPRUB1504">#REF!</definedName>
    <definedName name="RANGEQUERY15_F7_30_DEPRUB1505">#REF!</definedName>
    <definedName name="RANGEQUERY15_F7_30_DEPRUB1506">#REF!</definedName>
    <definedName name="RANGEQUERY15_F7_30_DEPRUB1507">#REF!</definedName>
    <definedName name="RANGEQUERY15_F7_30_DEPRUB1601">#REF!</definedName>
    <definedName name="RANGEQUERY15_F7_30_DEPRUB1602">#REF!</definedName>
    <definedName name="RANGEQUERY15_F7_30_DEPRUB1603">#REF!</definedName>
    <definedName name="RANGEQUERY15_F7_30_DEPRUB1604">#REF!</definedName>
    <definedName name="RANGEQUERY15_F7_30_DEPRUB1605">#REF!</definedName>
    <definedName name="RANGEQUERY15_F7_30_DEPRUB1606">#REF!</definedName>
    <definedName name="RANGEQUERY15_F7_30_DEPRUB1607">#REF!</definedName>
    <definedName name="RANGEQUERY15_F7_30_DEPRUB1701">#REF!</definedName>
    <definedName name="RANGEQUERY15_F7_30_DEPRUB1702">#REF!</definedName>
    <definedName name="RANGEQUERY15_F7_30_DEPRUB1703">#REF!</definedName>
    <definedName name="RANGEQUERY15_F7_30_DEPRUB1704">#REF!</definedName>
    <definedName name="RANGEQUERY15_F7_30_DEPRUB1705">#REF!</definedName>
    <definedName name="RANGEQUERY15_F7_30_DEPRUB1706">#REF!</definedName>
    <definedName name="RANGEQUERY15_F7_30_DEPRUB1707">#REF!</definedName>
    <definedName name="RANGEQUERY15_F7_30_DEPRUB201">#REF!</definedName>
    <definedName name="RANGEQUERY15_F7_30_DEPRUB202">#REF!</definedName>
    <definedName name="RANGEQUERY15_F7_30_DEPRUB203">#REF!</definedName>
    <definedName name="RANGEQUERY15_F7_30_DEPRUB204">#REF!</definedName>
    <definedName name="RANGEQUERY15_F7_30_DEPRUB205">#REF!</definedName>
    <definedName name="RANGEQUERY15_F7_30_DEPRUB206">#REF!</definedName>
    <definedName name="RANGEQUERY15_F7_30_DEPRUB207">#REF!</definedName>
    <definedName name="RANGEQUERY15_F7_30_DEPRUB301">#REF!</definedName>
    <definedName name="RANGEQUERY15_F7_30_DEPRUB302">#REF!</definedName>
    <definedName name="RANGEQUERY15_F7_30_DEPRUB303">#REF!</definedName>
    <definedName name="RANGEQUERY15_F7_30_DEPRUB304">#REF!</definedName>
    <definedName name="RANGEQUERY15_F7_30_DEPRUB305">#REF!</definedName>
    <definedName name="RANGEQUERY15_F7_30_DEPRUB306">#REF!</definedName>
    <definedName name="RANGEQUERY15_F7_30_DEPRUB307">#REF!</definedName>
    <definedName name="RANGEQUERY15_F7_30_DEPRUB401">#REF!</definedName>
    <definedName name="RANGEQUERY15_F7_30_DEPRUB402">#REF!</definedName>
    <definedName name="RANGEQUERY15_F7_30_DEPRUB403">#REF!</definedName>
    <definedName name="RANGEQUERY15_F7_30_DEPRUB404">#REF!</definedName>
    <definedName name="RANGEQUERY15_F7_30_DEPRUB405">#REF!</definedName>
    <definedName name="RANGEQUERY15_F7_30_DEPRUB406">#REF!</definedName>
    <definedName name="RANGEQUERY15_F7_30_DEPRUB407">#REF!</definedName>
    <definedName name="RANGEQUERY15_F7_30_DEPRUB501">#REF!</definedName>
    <definedName name="RANGEQUERY15_F7_30_DEPRUB502">#REF!</definedName>
    <definedName name="RANGEQUERY15_F7_30_DEPRUB503">#REF!</definedName>
    <definedName name="RANGEQUERY15_F7_30_DEPRUB504">#REF!</definedName>
    <definedName name="RANGEQUERY15_F7_30_DEPRUB505">#REF!</definedName>
    <definedName name="RANGEQUERY15_F7_30_DEPRUB506">#REF!</definedName>
    <definedName name="RANGEQUERY15_F7_30_DEPRUB507">#REF!</definedName>
    <definedName name="RANGEQUERY15_F7_30_DEPRUB601">#REF!</definedName>
    <definedName name="RANGEQUERY15_F7_30_DEPRUB602">#REF!</definedName>
    <definedName name="RANGEQUERY15_F7_30_DEPRUB603">#REF!</definedName>
    <definedName name="RANGEQUERY15_F7_30_DEPRUB604">#REF!</definedName>
    <definedName name="RANGEQUERY15_F7_30_DEPRUB605">#REF!</definedName>
    <definedName name="RANGEQUERY15_F7_30_DEPRUB606">#REF!</definedName>
    <definedName name="RANGEQUERY15_F7_30_DEPRUB607">#REF!</definedName>
    <definedName name="RANGEQUERY15_F7_30_DEPRUB701">#REF!</definedName>
    <definedName name="RANGEQUERY15_F7_30_DEPRUB702">#REF!</definedName>
    <definedName name="RANGEQUERY15_F7_30_DEPRUB703">#REF!</definedName>
    <definedName name="RANGEQUERY15_F7_30_DEPRUB704">#REF!</definedName>
    <definedName name="RANGEQUERY15_F7_30_DEPRUB705">#REF!</definedName>
    <definedName name="RANGEQUERY15_F7_30_DEPRUB706">#REF!</definedName>
    <definedName name="RANGEQUERY15_F7_30_DEPRUB707">#REF!</definedName>
    <definedName name="RANGEQUERY15_F7_30_DEPRUB801">#REF!</definedName>
    <definedName name="RANGEQUERY15_F7_30_DEPRUB802">#REF!</definedName>
    <definedName name="RANGEQUERY15_F7_30_DEPRUB803">#REF!</definedName>
    <definedName name="RANGEQUERY15_F7_30_DEPRUB804">#REF!</definedName>
    <definedName name="RANGEQUERY15_F7_30_DEPRUB805">#REF!</definedName>
    <definedName name="RANGEQUERY15_F7_30_DEPRUB806">#REF!</definedName>
    <definedName name="RANGEQUERY15_F7_30_DEPRUB807">#REF!</definedName>
    <definedName name="RANGEQUERY15_F7_30_DEPRUB901">#REF!</definedName>
    <definedName name="RANGEQUERY15_F7_30_DEPRUB902">#REF!</definedName>
    <definedName name="RANGEQUERY15_F7_30_DEPRUB903">#REF!</definedName>
    <definedName name="RANGEQUERY15_F7_30_DEPRUB904">#REF!</definedName>
    <definedName name="RANGEQUERY15_F7_30_DEPRUB905">#REF!</definedName>
    <definedName name="RANGEQUERY15_F7_30_DEPRUB906">#REF!</definedName>
    <definedName name="RANGEQUERY15_F7_30_DEPRUB907">#REF!</definedName>
    <definedName name="RANGEQUERY15_F7_30_DEPVAL1001">#REF!</definedName>
    <definedName name="RANGEQUERY15_F7_30_DEPVAL1002">#REF!</definedName>
    <definedName name="RANGEQUERY15_F7_30_DEPVAL1003">#REF!</definedName>
    <definedName name="RANGEQUERY15_F7_30_DEPVAL1004">#REF!</definedName>
    <definedName name="RANGEQUERY15_F7_30_DEPVAL1005">#REF!</definedName>
    <definedName name="RANGEQUERY15_F7_30_DEPVAL1006">#REF!</definedName>
    <definedName name="RANGEQUERY15_F7_30_DEPVAL1007">#REF!</definedName>
    <definedName name="RANGEQUERY15_F7_30_DEPVAL1101">#REF!</definedName>
    <definedName name="RANGEQUERY15_F7_30_DEPVAL1102">#REF!</definedName>
    <definedName name="RANGEQUERY15_F7_30_DEPVAL1103">#REF!</definedName>
    <definedName name="RANGEQUERY15_F7_30_DEPVAL1104">#REF!</definedName>
    <definedName name="RANGEQUERY15_F7_30_DEPVAL1105">#REF!</definedName>
    <definedName name="RANGEQUERY15_F7_30_DEPVAL1106">#REF!</definedName>
    <definedName name="RANGEQUERY15_F7_30_DEPVAL1107">#REF!</definedName>
    <definedName name="RANGEQUERY15_F7_30_DEPVAL1201">#REF!</definedName>
    <definedName name="RANGEQUERY15_F7_30_DEPVAL1202">#REF!</definedName>
    <definedName name="RANGEQUERY15_F7_30_DEPVAL1203">#REF!</definedName>
    <definedName name="RANGEQUERY15_F7_30_DEPVAL1204">#REF!</definedName>
    <definedName name="RANGEQUERY15_F7_30_DEPVAL1205">#REF!</definedName>
    <definedName name="RANGEQUERY15_F7_30_DEPVAL1206">#REF!</definedName>
    <definedName name="RANGEQUERY15_F7_30_DEPVAL1207">#REF!</definedName>
    <definedName name="RANGEQUERY15_F7_30_DEPVAL1301">#REF!</definedName>
    <definedName name="RANGEQUERY15_F7_30_DEPVAL1302">#REF!</definedName>
    <definedName name="RANGEQUERY15_F7_30_DEPVAL1303">#REF!</definedName>
    <definedName name="RANGEQUERY15_F7_30_DEPVAL1304">#REF!</definedName>
    <definedName name="RANGEQUERY15_F7_30_DEPVAL1305">#REF!</definedName>
    <definedName name="RANGEQUERY15_F7_30_DEPVAL1306">#REF!</definedName>
    <definedName name="RANGEQUERY15_F7_30_DEPVAL1307">#REF!</definedName>
    <definedName name="RANGEQUERY15_F7_30_DEPVAL1401">#REF!</definedName>
    <definedName name="RANGEQUERY15_F7_30_DEPVAL1402">#REF!</definedName>
    <definedName name="RANGEQUERY15_F7_30_DEPVAL1403">#REF!</definedName>
    <definedName name="RANGEQUERY15_F7_30_DEPVAL1404">#REF!</definedName>
    <definedName name="RANGEQUERY15_F7_30_DEPVAL1405">#REF!</definedName>
    <definedName name="RANGEQUERY15_F7_30_DEPVAL1406">#REF!</definedName>
    <definedName name="RANGEQUERY15_F7_30_DEPVAL1407">#REF!</definedName>
    <definedName name="RANGEQUERY15_F7_30_DEPVAL1501">#REF!</definedName>
    <definedName name="RANGEQUERY15_F7_30_DEPVAL1502">#REF!</definedName>
    <definedName name="RANGEQUERY15_F7_30_DEPVAL1503">#REF!</definedName>
    <definedName name="RANGEQUERY15_F7_30_DEPVAL1504">#REF!</definedName>
    <definedName name="RANGEQUERY15_F7_30_DEPVAL1505">#REF!</definedName>
    <definedName name="RANGEQUERY15_F7_30_DEPVAL1506">#REF!</definedName>
    <definedName name="RANGEQUERY15_F7_30_DEPVAL1507">#REF!</definedName>
    <definedName name="RANGEQUERY15_F7_30_DEPVAL1601">#REF!</definedName>
    <definedName name="RANGEQUERY15_F7_30_DEPVAL1602">#REF!</definedName>
    <definedName name="RANGEQUERY15_F7_30_DEPVAL1603">#REF!</definedName>
    <definedName name="RANGEQUERY15_F7_30_DEPVAL1604">#REF!</definedName>
    <definedName name="RANGEQUERY15_F7_30_DEPVAL1605">#REF!</definedName>
    <definedName name="RANGEQUERY15_F7_30_DEPVAL1606">#REF!</definedName>
    <definedName name="RANGEQUERY15_F7_30_DEPVAL1607">#REF!</definedName>
    <definedName name="RANGEQUERY15_F7_30_DEPVAL1701">#REF!</definedName>
    <definedName name="RANGEQUERY15_F7_30_DEPVAL1702">#REF!</definedName>
    <definedName name="RANGEQUERY15_F7_30_DEPVAL1703">#REF!</definedName>
    <definedName name="RANGEQUERY15_F7_30_DEPVAL1704">#REF!</definedName>
    <definedName name="RANGEQUERY15_F7_30_DEPVAL1705">#REF!</definedName>
    <definedName name="RANGEQUERY15_F7_30_DEPVAL1706">#REF!</definedName>
    <definedName name="RANGEQUERY15_F7_30_DEPVAL1707">#REF!</definedName>
    <definedName name="RANGEQUERY15_F7_30_DEPVAL201">#REF!</definedName>
    <definedName name="RANGEQUERY15_F7_30_DEPVAL202">#REF!</definedName>
    <definedName name="RANGEQUERY15_F7_30_DEPVAL203">#REF!</definedName>
    <definedName name="RANGEQUERY15_F7_30_DEPVAL204">#REF!</definedName>
    <definedName name="RANGEQUERY15_F7_30_DEPVAL205">#REF!</definedName>
    <definedName name="RANGEQUERY15_F7_30_DEPVAL206">#REF!</definedName>
    <definedName name="RANGEQUERY15_F7_30_DEPVAL207">#REF!</definedName>
    <definedName name="RANGEQUERY15_F7_30_DEPVAL301">#REF!</definedName>
    <definedName name="RANGEQUERY15_F7_30_DEPVAL302">#REF!</definedName>
    <definedName name="RANGEQUERY15_F7_30_DEPVAL303">#REF!</definedName>
    <definedName name="RANGEQUERY15_F7_30_DEPVAL304">#REF!</definedName>
    <definedName name="RANGEQUERY15_F7_30_DEPVAL305">#REF!</definedName>
    <definedName name="RANGEQUERY15_F7_30_DEPVAL306">#REF!</definedName>
    <definedName name="RANGEQUERY15_F7_30_DEPVAL307">#REF!</definedName>
    <definedName name="RANGEQUERY15_F7_30_DEPVAL401">#REF!</definedName>
    <definedName name="RANGEQUERY15_F7_30_DEPVAL402">#REF!</definedName>
    <definedName name="RANGEQUERY15_F7_30_DEPVAL403">#REF!</definedName>
    <definedName name="RANGEQUERY15_F7_30_DEPVAL404">#REF!</definedName>
    <definedName name="RANGEQUERY15_F7_30_DEPVAL405">#REF!</definedName>
    <definedName name="RANGEQUERY15_F7_30_DEPVAL406">#REF!</definedName>
    <definedName name="RANGEQUERY15_F7_30_DEPVAL407">#REF!</definedName>
    <definedName name="RANGEQUERY15_F7_30_DEPVAL501">#REF!</definedName>
    <definedName name="RANGEQUERY15_F7_30_DEPVAL502">#REF!</definedName>
    <definedName name="RANGEQUERY15_F7_30_DEPVAL503">#REF!</definedName>
    <definedName name="RANGEQUERY15_F7_30_DEPVAL504">#REF!</definedName>
    <definedName name="RANGEQUERY15_F7_30_DEPVAL505">#REF!</definedName>
    <definedName name="RANGEQUERY15_F7_30_DEPVAL506">#REF!</definedName>
    <definedName name="RANGEQUERY15_F7_30_DEPVAL507">#REF!</definedName>
    <definedName name="RANGEQUERY15_F7_30_DEPVAL601">#REF!</definedName>
    <definedName name="RANGEQUERY15_F7_30_DEPVAL602">#REF!</definedName>
    <definedName name="RANGEQUERY15_F7_30_DEPVAL603">#REF!</definedName>
    <definedName name="RANGEQUERY15_F7_30_DEPVAL604">#REF!</definedName>
    <definedName name="RANGEQUERY15_F7_30_DEPVAL605">#REF!</definedName>
    <definedName name="RANGEQUERY15_F7_30_DEPVAL606">#REF!</definedName>
    <definedName name="RANGEQUERY15_F7_30_DEPVAL607">#REF!</definedName>
    <definedName name="RANGEQUERY15_F7_30_DEPVAL701">#REF!</definedName>
    <definedName name="RANGEQUERY15_F7_30_DEPVAL702">#REF!</definedName>
    <definedName name="RANGEQUERY15_F7_30_DEPVAL703">#REF!</definedName>
    <definedName name="RANGEQUERY15_F7_30_DEPVAL704">#REF!</definedName>
    <definedName name="RANGEQUERY15_F7_30_DEPVAL705">#REF!</definedName>
    <definedName name="RANGEQUERY15_F7_30_DEPVAL706">#REF!</definedName>
    <definedName name="RANGEQUERY15_F7_30_DEPVAL707">#REF!</definedName>
    <definedName name="RANGEQUERY15_F7_30_DEPVAL801">#REF!</definedName>
    <definedName name="RANGEQUERY15_F7_30_DEPVAL802">#REF!</definedName>
    <definedName name="RANGEQUERY15_F7_30_DEPVAL803">#REF!</definedName>
    <definedName name="RANGEQUERY15_F7_30_DEPVAL804">#REF!</definedName>
    <definedName name="RANGEQUERY15_F7_30_DEPVAL805">#REF!</definedName>
    <definedName name="RANGEQUERY15_F7_30_DEPVAL806">#REF!</definedName>
    <definedName name="RANGEQUERY15_F7_30_DEPVAL807">#REF!</definedName>
    <definedName name="RANGEQUERY15_F7_30_DEPVAL901">#REF!</definedName>
    <definedName name="RANGEQUERY15_F7_30_DEPVAL902">#REF!</definedName>
    <definedName name="RANGEQUERY15_F7_30_DEPVAL903">#REF!</definedName>
    <definedName name="RANGEQUERY15_F7_30_DEPVAL904">#REF!</definedName>
    <definedName name="RANGEQUERY15_F7_30_DEPVAL905">#REF!</definedName>
    <definedName name="RANGEQUERY15_F7_30_DEPVAL906">#REF!</definedName>
    <definedName name="RANGEQUERY15_F7_30_DEPVAL907">#REF!</definedName>
    <definedName name="RANGEQUERY16_F7_30_DEPRUB1001">#REF!</definedName>
    <definedName name="RANGEQUERY16_F7_30_DEPRUB1002">#REF!</definedName>
    <definedName name="RANGEQUERY16_F7_30_DEPRUB1003">#REF!</definedName>
    <definedName name="RANGEQUERY16_F7_30_DEPRUB1004">#REF!</definedName>
    <definedName name="RANGEQUERY16_F7_30_DEPRUB1005">#REF!</definedName>
    <definedName name="RANGEQUERY16_F7_30_DEPRUB1006">#REF!</definedName>
    <definedName name="RANGEQUERY16_F7_30_DEPRUB1007">#REF!</definedName>
    <definedName name="RANGEQUERY16_F7_30_DEPRUB1101">#REF!</definedName>
    <definedName name="RANGEQUERY16_F7_30_DEPRUB1102">#REF!</definedName>
    <definedName name="RANGEQUERY16_F7_30_DEPRUB1103">#REF!</definedName>
    <definedName name="RANGEQUERY16_F7_30_DEPRUB1104">#REF!</definedName>
    <definedName name="RANGEQUERY16_F7_30_DEPRUB1105">#REF!</definedName>
    <definedName name="RANGEQUERY16_F7_30_DEPRUB1106">#REF!</definedName>
    <definedName name="RANGEQUERY16_F7_30_DEPRUB1107">#REF!</definedName>
    <definedName name="RANGEQUERY16_F7_30_DEPRUB1201">#REF!</definedName>
    <definedName name="RANGEQUERY16_F7_30_DEPRUB1202">#REF!</definedName>
    <definedName name="RANGEQUERY16_F7_30_DEPRUB1203">#REF!</definedName>
    <definedName name="RANGEQUERY16_F7_30_DEPRUB1204">#REF!</definedName>
    <definedName name="RANGEQUERY16_F7_30_DEPRUB1205">#REF!</definedName>
    <definedName name="RANGEQUERY16_F7_30_DEPRUB1206">#REF!</definedName>
    <definedName name="RANGEQUERY16_F7_30_DEPRUB1207">#REF!</definedName>
    <definedName name="RANGEQUERY16_F7_30_DEPRUB1301">#REF!</definedName>
    <definedName name="RANGEQUERY16_F7_30_DEPRUB1302">#REF!</definedName>
    <definedName name="RANGEQUERY16_F7_30_DEPRUB1303">#REF!</definedName>
    <definedName name="RANGEQUERY16_F7_30_DEPRUB1304">#REF!</definedName>
    <definedName name="RANGEQUERY16_F7_30_DEPRUB1305">#REF!</definedName>
    <definedName name="RANGEQUERY16_F7_30_DEPRUB1306">#REF!</definedName>
    <definedName name="RANGEQUERY16_F7_30_DEPRUB1307">#REF!</definedName>
    <definedName name="RANGEQUERY16_F7_30_DEPRUB1401">#REF!</definedName>
    <definedName name="RANGEQUERY16_F7_30_DEPRUB1402">#REF!</definedName>
    <definedName name="RANGEQUERY16_F7_30_DEPRUB1403">#REF!</definedName>
    <definedName name="RANGEQUERY16_F7_30_DEPRUB1404">#REF!</definedName>
    <definedName name="RANGEQUERY16_F7_30_DEPRUB1405">#REF!</definedName>
    <definedName name="RANGEQUERY16_F7_30_DEPRUB1406">#REF!</definedName>
    <definedName name="RANGEQUERY16_F7_30_DEPRUB1407">#REF!</definedName>
    <definedName name="RANGEQUERY16_F7_30_DEPRUB1501">#REF!</definedName>
    <definedName name="RANGEQUERY16_F7_30_DEPRUB1502">#REF!</definedName>
    <definedName name="RANGEQUERY16_F7_30_DEPRUB1503">#REF!</definedName>
    <definedName name="RANGEQUERY16_F7_30_DEPRUB1504">#REF!</definedName>
    <definedName name="RANGEQUERY16_F7_30_DEPRUB1505">#REF!</definedName>
    <definedName name="RANGEQUERY16_F7_30_DEPRUB1506">#REF!</definedName>
    <definedName name="RANGEQUERY16_F7_30_DEPRUB1507">#REF!</definedName>
    <definedName name="RANGEQUERY16_F7_30_DEPRUB1601">#REF!</definedName>
    <definedName name="RANGEQUERY16_F7_30_DEPRUB1602">#REF!</definedName>
    <definedName name="RANGEQUERY16_F7_30_DEPRUB1603">#REF!</definedName>
    <definedName name="RANGEQUERY16_F7_30_DEPRUB1604">#REF!</definedName>
    <definedName name="RANGEQUERY16_F7_30_DEPRUB1605">#REF!</definedName>
    <definedName name="RANGEQUERY16_F7_30_DEPRUB1606">#REF!</definedName>
    <definedName name="RANGEQUERY16_F7_30_DEPRUB1607">#REF!</definedName>
    <definedName name="RANGEQUERY16_F7_30_DEPRUB1701">#REF!</definedName>
    <definedName name="RANGEQUERY16_F7_30_DEPRUB1702">#REF!</definedName>
    <definedName name="RANGEQUERY16_F7_30_DEPRUB1703">#REF!</definedName>
    <definedName name="RANGEQUERY16_F7_30_DEPRUB1704">#REF!</definedName>
    <definedName name="RANGEQUERY16_F7_30_DEPRUB1705">#REF!</definedName>
    <definedName name="RANGEQUERY16_F7_30_DEPRUB1706">#REF!</definedName>
    <definedName name="RANGEQUERY16_F7_30_DEPRUB1707">#REF!</definedName>
    <definedName name="RANGEQUERY16_F7_30_DEPRUB201">#REF!</definedName>
    <definedName name="RANGEQUERY16_F7_30_DEPRUB202">#REF!</definedName>
    <definedName name="RANGEQUERY16_F7_30_DEPRUB203">#REF!</definedName>
    <definedName name="RANGEQUERY16_F7_30_DEPRUB204">#REF!</definedName>
    <definedName name="RANGEQUERY16_F7_30_DEPRUB205">#REF!</definedName>
    <definedName name="RANGEQUERY16_F7_30_DEPRUB206">#REF!</definedName>
    <definedName name="RANGEQUERY16_F7_30_DEPRUB207">#REF!</definedName>
    <definedName name="RANGEQUERY16_F7_30_DEPRUB301">#REF!</definedName>
    <definedName name="RANGEQUERY16_F7_30_DEPRUB302">#REF!</definedName>
    <definedName name="RANGEQUERY16_F7_30_DEPRUB303">#REF!</definedName>
    <definedName name="RANGEQUERY16_F7_30_DEPRUB304">#REF!</definedName>
    <definedName name="RANGEQUERY16_F7_30_DEPRUB305">#REF!</definedName>
    <definedName name="RANGEQUERY16_F7_30_DEPRUB306">#REF!</definedName>
    <definedName name="RANGEQUERY16_F7_30_DEPRUB307">#REF!</definedName>
    <definedName name="RANGEQUERY16_F7_30_DEPRUB401">#REF!</definedName>
    <definedName name="RANGEQUERY16_F7_30_DEPRUB402">#REF!</definedName>
    <definedName name="RANGEQUERY16_F7_30_DEPRUB403">#REF!</definedName>
    <definedName name="RANGEQUERY16_F7_30_DEPRUB404">#REF!</definedName>
    <definedName name="RANGEQUERY16_F7_30_DEPRUB405">#REF!</definedName>
    <definedName name="RANGEQUERY16_F7_30_DEPRUB406">#REF!</definedName>
    <definedName name="RANGEQUERY16_F7_30_DEPRUB407">#REF!</definedName>
    <definedName name="RANGEQUERY16_F7_30_DEPRUB501">#REF!</definedName>
    <definedName name="RANGEQUERY16_F7_30_DEPRUB502">#REF!</definedName>
    <definedName name="RANGEQUERY16_F7_30_DEPRUB503">#REF!</definedName>
    <definedName name="RANGEQUERY16_F7_30_DEPRUB504">#REF!</definedName>
    <definedName name="RANGEQUERY16_F7_30_DEPRUB505">#REF!</definedName>
    <definedName name="RANGEQUERY16_F7_30_DEPRUB506">#REF!</definedName>
    <definedName name="RANGEQUERY16_F7_30_DEPRUB507">#REF!</definedName>
    <definedName name="RANGEQUERY16_F7_30_DEPRUB601">#REF!</definedName>
    <definedName name="RANGEQUERY16_F7_30_DEPRUB602">#REF!</definedName>
    <definedName name="RANGEQUERY16_F7_30_DEPRUB603">#REF!</definedName>
    <definedName name="RANGEQUERY16_F7_30_DEPRUB604">#REF!</definedName>
    <definedName name="RANGEQUERY16_F7_30_DEPRUB605">#REF!</definedName>
    <definedName name="RANGEQUERY16_F7_30_DEPRUB606">#REF!</definedName>
    <definedName name="RANGEQUERY16_F7_30_DEPRUB607">#REF!</definedName>
    <definedName name="RANGEQUERY16_F7_30_DEPRUB701">#REF!</definedName>
    <definedName name="RANGEQUERY16_F7_30_DEPRUB702">#REF!</definedName>
    <definedName name="RANGEQUERY16_F7_30_DEPRUB703">#REF!</definedName>
    <definedName name="RANGEQUERY16_F7_30_DEPRUB704">#REF!</definedName>
    <definedName name="RANGEQUERY16_F7_30_DEPRUB705">#REF!</definedName>
    <definedName name="RANGEQUERY16_F7_30_DEPRUB706">#REF!</definedName>
    <definedName name="RANGEQUERY16_F7_30_DEPRUB707">#REF!</definedName>
    <definedName name="RANGEQUERY16_F7_30_DEPRUB801">#REF!</definedName>
    <definedName name="RANGEQUERY16_F7_30_DEPRUB802">#REF!</definedName>
    <definedName name="RANGEQUERY16_F7_30_DEPRUB803">#REF!</definedName>
    <definedName name="RANGEQUERY16_F7_30_DEPRUB804">#REF!</definedName>
    <definedName name="RANGEQUERY16_F7_30_DEPRUB805">#REF!</definedName>
    <definedName name="RANGEQUERY16_F7_30_DEPRUB806">#REF!</definedName>
    <definedName name="RANGEQUERY16_F7_30_DEPRUB807">#REF!</definedName>
    <definedName name="RANGEQUERY16_F7_30_DEPRUB901">#REF!</definedName>
    <definedName name="RANGEQUERY16_F7_30_DEPRUB902">#REF!</definedName>
    <definedName name="RANGEQUERY16_F7_30_DEPRUB903">#REF!</definedName>
    <definedName name="RANGEQUERY16_F7_30_DEPRUB904">#REF!</definedName>
    <definedName name="RANGEQUERY16_F7_30_DEPRUB905">#REF!</definedName>
    <definedName name="RANGEQUERY16_F7_30_DEPRUB906">#REF!</definedName>
    <definedName name="RANGEQUERY16_F7_30_DEPRUB907">#REF!</definedName>
    <definedName name="RANGEQUERY16_F7_30_DEPVAL1001">#REF!</definedName>
    <definedName name="RANGEQUERY16_F7_30_DEPVAL1002">#REF!</definedName>
    <definedName name="RANGEQUERY16_F7_30_DEPVAL1003">#REF!</definedName>
    <definedName name="RANGEQUERY16_F7_30_DEPVAL1004">#REF!</definedName>
    <definedName name="RANGEQUERY16_F7_30_DEPVAL1005">#REF!</definedName>
    <definedName name="RANGEQUERY16_F7_30_DEPVAL1006">#REF!</definedName>
    <definedName name="RANGEQUERY16_F7_30_DEPVAL1007">#REF!</definedName>
    <definedName name="RANGEQUERY16_F7_30_DEPVAL1101">#REF!</definedName>
    <definedName name="RANGEQUERY16_F7_30_DEPVAL1102">#REF!</definedName>
    <definedName name="RANGEQUERY16_F7_30_DEPVAL1103">#REF!</definedName>
    <definedName name="RANGEQUERY16_F7_30_DEPVAL1104">#REF!</definedName>
    <definedName name="RANGEQUERY16_F7_30_DEPVAL1105">#REF!</definedName>
    <definedName name="RANGEQUERY16_F7_30_DEPVAL1106">#REF!</definedName>
    <definedName name="RANGEQUERY16_F7_30_DEPVAL1107">#REF!</definedName>
    <definedName name="RANGEQUERY16_F7_30_DEPVAL1201">#REF!</definedName>
    <definedName name="RANGEQUERY16_F7_30_DEPVAL1202">#REF!</definedName>
    <definedName name="RANGEQUERY16_F7_30_DEPVAL1203">#REF!</definedName>
    <definedName name="RANGEQUERY16_F7_30_DEPVAL1204">#REF!</definedName>
    <definedName name="RANGEQUERY16_F7_30_DEPVAL1205">#REF!</definedName>
    <definedName name="RANGEQUERY16_F7_30_DEPVAL1206">#REF!</definedName>
    <definedName name="RANGEQUERY16_F7_30_DEPVAL1207">#REF!</definedName>
    <definedName name="RANGEQUERY16_F7_30_DEPVAL1301">#REF!</definedName>
    <definedName name="RANGEQUERY16_F7_30_DEPVAL1302">#REF!</definedName>
    <definedName name="RANGEQUERY16_F7_30_DEPVAL1303">#REF!</definedName>
    <definedName name="RANGEQUERY16_F7_30_DEPVAL1304">#REF!</definedName>
    <definedName name="RANGEQUERY16_F7_30_DEPVAL1305">#REF!</definedName>
    <definedName name="RANGEQUERY16_F7_30_DEPVAL1306">#REF!</definedName>
    <definedName name="RANGEQUERY16_F7_30_DEPVAL1307">#REF!</definedName>
    <definedName name="RANGEQUERY16_F7_30_DEPVAL1401">#REF!</definedName>
    <definedName name="RANGEQUERY16_F7_30_DEPVAL1402">#REF!</definedName>
    <definedName name="RANGEQUERY16_F7_30_DEPVAL1403">#REF!</definedName>
    <definedName name="RANGEQUERY16_F7_30_DEPVAL1404">#REF!</definedName>
    <definedName name="RANGEQUERY16_F7_30_DEPVAL1405">#REF!</definedName>
    <definedName name="RANGEQUERY16_F7_30_DEPVAL1406">#REF!</definedName>
    <definedName name="RANGEQUERY16_F7_30_DEPVAL1407">#REF!</definedName>
    <definedName name="RANGEQUERY16_F7_30_DEPVAL1501">#REF!</definedName>
    <definedName name="RANGEQUERY16_F7_30_DEPVAL1502">#REF!</definedName>
    <definedName name="RANGEQUERY16_F7_30_DEPVAL1503">#REF!</definedName>
    <definedName name="RANGEQUERY16_F7_30_DEPVAL1504">#REF!</definedName>
    <definedName name="RANGEQUERY16_F7_30_DEPVAL1505">#REF!</definedName>
    <definedName name="RANGEQUERY16_F7_30_DEPVAL1506">#REF!</definedName>
    <definedName name="RANGEQUERY16_F7_30_DEPVAL1507">#REF!</definedName>
    <definedName name="RANGEQUERY16_F7_30_DEPVAL1601">#REF!</definedName>
    <definedName name="RANGEQUERY16_F7_30_DEPVAL1602">#REF!</definedName>
    <definedName name="RANGEQUERY16_F7_30_DEPVAL1603">#REF!</definedName>
    <definedName name="RANGEQUERY16_F7_30_DEPVAL1604">#REF!</definedName>
    <definedName name="RANGEQUERY16_F7_30_DEPVAL1605">#REF!</definedName>
    <definedName name="RANGEQUERY16_F7_30_DEPVAL1606">#REF!</definedName>
    <definedName name="RANGEQUERY16_F7_30_DEPVAL1607">#REF!</definedName>
    <definedName name="RANGEQUERY16_F7_30_DEPVAL1701">#REF!</definedName>
    <definedName name="RANGEQUERY16_F7_30_DEPVAL1702">#REF!</definedName>
    <definedName name="RANGEQUERY16_F7_30_DEPVAL1703">#REF!</definedName>
    <definedName name="RANGEQUERY16_F7_30_DEPVAL1704">#REF!</definedName>
    <definedName name="RANGEQUERY16_F7_30_DEPVAL1705">#REF!</definedName>
    <definedName name="RANGEQUERY16_F7_30_DEPVAL1706">#REF!</definedName>
    <definedName name="RANGEQUERY16_F7_30_DEPVAL1707">#REF!</definedName>
    <definedName name="RANGEQUERY16_F7_30_DEPVAL201">#REF!</definedName>
    <definedName name="RANGEQUERY16_F7_30_DEPVAL202">#REF!</definedName>
    <definedName name="RANGEQUERY16_F7_30_DEPVAL203">#REF!</definedName>
    <definedName name="RANGEQUERY16_F7_30_DEPVAL204">#REF!</definedName>
    <definedName name="RANGEQUERY16_F7_30_DEPVAL205">#REF!</definedName>
    <definedName name="RANGEQUERY16_F7_30_DEPVAL206">#REF!</definedName>
    <definedName name="RANGEQUERY16_F7_30_DEPVAL207">#REF!</definedName>
    <definedName name="RANGEQUERY16_F7_30_DEPVAL301">#REF!</definedName>
    <definedName name="RANGEQUERY16_F7_30_DEPVAL302">#REF!</definedName>
    <definedName name="RANGEQUERY16_F7_30_DEPVAL303">#REF!</definedName>
    <definedName name="RANGEQUERY16_F7_30_DEPVAL304">#REF!</definedName>
    <definedName name="RANGEQUERY16_F7_30_DEPVAL305">#REF!</definedName>
    <definedName name="RANGEQUERY16_F7_30_DEPVAL306">#REF!</definedName>
    <definedName name="RANGEQUERY16_F7_30_DEPVAL307">#REF!</definedName>
    <definedName name="RANGEQUERY16_F7_30_DEPVAL401">#REF!</definedName>
    <definedName name="RANGEQUERY16_F7_30_DEPVAL402">#REF!</definedName>
    <definedName name="RANGEQUERY16_F7_30_DEPVAL403">#REF!</definedName>
    <definedName name="RANGEQUERY16_F7_30_DEPVAL404">#REF!</definedName>
    <definedName name="RANGEQUERY16_F7_30_DEPVAL405">#REF!</definedName>
    <definedName name="RANGEQUERY16_F7_30_DEPVAL406">#REF!</definedName>
    <definedName name="RANGEQUERY16_F7_30_DEPVAL407">#REF!</definedName>
    <definedName name="RANGEQUERY16_F7_30_DEPVAL501">#REF!</definedName>
    <definedName name="RANGEQUERY16_F7_30_DEPVAL502">#REF!</definedName>
    <definedName name="RANGEQUERY16_F7_30_DEPVAL503">#REF!</definedName>
    <definedName name="RANGEQUERY16_F7_30_DEPVAL504">#REF!</definedName>
    <definedName name="RANGEQUERY16_F7_30_DEPVAL505">#REF!</definedName>
    <definedName name="RANGEQUERY16_F7_30_DEPVAL506">#REF!</definedName>
    <definedName name="RANGEQUERY16_F7_30_DEPVAL507">#REF!</definedName>
    <definedName name="RANGEQUERY16_F7_30_DEPVAL601">#REF!</definedName>
    <definedName name="RANGEQUERY16_F7_30_DEPVAL602">#REF!</definedName>
    <definedName name="RANGEQUERY16_F7_30_DEPVAL603">#REF!</definedName>
    <definedName name="RANGEQUERY16_F7_30_DEPVAL604">#REF!</definedName>
    <definedName name="RANGEQUERY16_F7_30_DEPVAL605">#REF!</definedName>
    <definedName name="RANGEQUERY16_F7_30_DEPVAL606">#REF!</definedName>
    <definedName name="RANGEQUERY16_F7_30_DEPVAL607">#REF!</definedName>
    <definedName name="RANGEQUERY16_F7_30_DEPVAL701">#REF!</definedName>
    <definedName name="RANGEQUERY16_F7_30_DEPVAL702">#REF!</definedName>
    <definedName name="RANGEQUERY16_F7_30_DEPVAL703">#REF!</definedName>
    <definedName name="RANGEQUERY16_F7_30_DEPVAL704">#REF!</definedName>
    <definedName name="RANGEQUERY16_F7_30_DEPVAL705">#REF!</definedName>
    <definedName name="RANGEQUERY16_F7_30_DEPVAL706">#REF!</definedName>
    <definedName name="RANGEQUERY16_F7_30_DEPVAL707">#REF!</definedName>
    <definedName name="RANGEQUERY16_F7_30_DEPVAL801">#REF!</definedName>
    <definedName name="RANGEQUERY16_F7_30_DEPVAL802">#REF!</definedName>
    <definedName name="RANGEQUERY16_F7_30_DEPVAL803">#REF!</definedName>
    <definedName name="RANGEQUERY16_F7_30_DEPVAL804">#REF!</definedName>
    <definedName name="RANGEQUERY16_F7_30_DEPVAL805">#REF!</definedName>
    <definedName name="RANGEQUERY16_F7_30_DEPVAL806">#REF!</definedName>
    <definedName name="RANGEQUERY16_F7_30_DEPVAL807">#REF!</definedName>
    <definedName name="RANGEQUERY16_F7_30_DEPVAL901">#REF!</definedName>
    <definedName name="RANGEQUERY16_F7_30_DEPVAL902">#REF!</definedName>
    <definedName name="RANGEQUERY16_F7_30_DEPVAL903">#REF!</definedName>
    <definedName name="RANGEQUERY16_F7_30_DEPVAL904">#REF!</definedName>
    <definedName name="RANGEQUERY16_F7_30_DEPVAL905">#REF!</definedName>
    <definedName name="RANGEQUERY16_F7_30_DEPVAL906">#REF!</definedName>
    <definedName name="RANGEQUERY16_F7_30_DEPVAL907">#REF!</definedName>
    <definedName name="RANGEQUERY17_F7_30_DEPRUB1001">#REF!</definedName>
    <definedName name="RANGEQUERY17_F7_30_DEPRUB1002">#REF!</definedName>
    <definedName name="RANGEQUERY17_F7_30_DEPRUB1003">#REF!</definedName>
    <definedName name="RANGEQUERY17_F7_30_DEPRUB1004">#REF!</definedName>
    <definedName name="RANGEQUERY17_F7_30_DEPRUB1005">#REF!</definedName>
    <definedName name="RANGEQUERY17_F7_30_DEPRUB1006">#REF!</definedName>
    <definedName name="RANGEQUERY17_F7_30_DEPRUB1007">#REF!</definedName>
    <definedName name="RANGEQUERY17_F7_30_DEPRUB1101">#REF!</definedName>
    <definedName name="RANGEQUERY17_F7_30_DEPRUB1102">#REF!</definedName>
    <definedName name="RANGEQUERY17_F7_30_DEPRUB1103">#REF!</definedName>
    <definedName name="RANGEQUERY17_F7_30_DEPRUB1104">#REF!</definedName>
    <definedName name="RANGEQUERY17_F7_30_DEPRUB1105">#REF!</definedName>
    <definedName name="RANGEQUERY17_F7_30_DEPRUB1106">#REF!</definedName>
    <definedName name="RANGEQUERY17_F7_30_DEPRUB1107">#REF!</definedName>
    <definedName name="RANGEQUERY17_F7_30_DEPRUB1201">#REF!</definedName>
    <definedName name="RANGEQUERY17_F7_30_DEPRUB1202">#REF!</definedName>
    <definedName name="RANGEQUERY17_F7_30_DEPRUB1203">#REF!</definedName>
    <definedName name="RANGEQUERY17_F7_30_DEPRUB1204">#REF!</definedName>
    <definedName name="RANGEQUERY17_F7_30_DEPRUB1205">#REF!</definedName>
    <definedName name="RANGEQUERY17_F7_30_DEPRUB1206">#REF!</definedName>
    <definedName name="RANGEQUERY17_F7_30_DEPRUB1207">#REF!</definedName>
    <definedName name="RANGEQUERY17_F7_30_DEPRUB1301">#REF!</definedName>
    <definedName name="RANGEQUERY17_F7_30_DEPRUB1302">#REF!</definedName>
    <definedName name="RANGEQUERY17_F7_30_DEPRUB1303">#REF!</definedName>
    <definedName name="RANGEQUERY17_F7_30_DEPRUB1304">#REF!</definedName>
    <definedName name="RANGEQUERY17_F7_30_DEPRUB1305">#REF!</definedName>
    <definedName name="RANGEQUERY17_F7_30_DEPRUB1306">#REF!</definedName>
    <definedName name="RANGEQUERY17_F7_30_DEPRUB1307">#REF!</definedName>
    <definedName name="RANGEQUERY17_F7_30_DEPRUB1401">#REF!</definedName>
    <definedName name="RANGEQUERY17_F7_30_DEPRUB1402">#REF!</definedName>
    <definedName name="RANGEQUERY17_F7_30_DEPRUB1403">#REF!</definedName>
    <definedName name="RANGEQUERY17_F7_30_DEPRUB1404">#REF!</definedName>
    <definedName name="RANGEQUERY17_F7_30_DEPRUB1405">#REF!</definedName>
    <definedName name="RANGEQUERY17_F7_30_DEPRUB1406">#REF!</definedName>
    <definedName name="RANGEQUERY17_F7_30_DEPRUB1407">#REF!</definedName>
    <definedName name="RANGEQUERY17_F7_30_DEPRUB1501">#REF!</definedName>
    <definedName name="RANGEQUERY17_F7_30_DEPRUB1502">#REF!</definedName>
    <definedName name="RANGEQUERY17_F7_30_DEPRUB1503">#REF!</definedName>
    <definedName name="RANGEQUERY17_F7_30_DEPRUB1504">#REF!</definedName>
    <definedName name="RANGEQUERY17_F7_30_DEPRUB1505">#REF!</definedName>
    <definedName name="RANGEQUERY17_F7_30_DEPRUB1506">#REF!</definedName>
    <definedName name="RANGEQUERY17_F7_30_DEPRUB1507">#REF!</definedName>
    <definedName name="RANGEQUERY17_F7_30_DEPRUB1601">#REF!</definedName>
    <definedName name="RANGEQUERY17_F7_30_DEPRUB1602">#REF!</definedName>
    <definedName name="RANGEQUERY17_F7_30_DEPRUB1603">#REF!</definedName>
    <definedName name="RANGEQUERY17_F7_30_DEPRUB1604">#REF!</definedName>
    <definedName name="RANGEQUERY17_F7_30_DEPRUB1605">#REF!</definedName>
    <definedName name="RANGEQUERY17_F7_30_DEPRUB1606">#REF!</definedName>
    <definedName name="RANGEQUERY17_F7_30_DEPRUB1607">#REF!</definedName>
    <definedName name="RANGEQUERY17_F7_30_DEPRUB1701">#REF!</definedName>
    <definedName name="RANGEQUERY17_F7_30_DEPRUB1702">#REF!</definedName>
    <definedName name="RANGEQUERY17_F7_30_DEPRUB1703">#REF!</definedName>
    <definedName name="RANGEQUERY17_F7_30_DEPRUB1704">#REF!</definedName>
    <definedName name="RANGEQUERY17_F7_30_DEPRUB1705">#REF!</definedName>
    <definedName name="RANGEQUERY17_F7_30_DEPRUB1706">#REF!</definedName>
    <definedName name="RANGEQUERY17_F7_30_DEPRUB1707">#REF!</definedName>
    <definedName name="RANGEQUERY17_F7_30_DEPRUB201">#REF!</definedName>
    <definedName name="RANGEQUERY17_F7_30_DEPRUB202">#REF!</definedName>
    <definedName name="RANGEQUERY17_F7_30_DEPRUB203">#REF!</definedName>
    <definedName name="RANGEQUERY17_F7_30_DEPRUB204">#REF!</definedName>
    <definedName name="RANGEQUERY17_F7_30_DEPRUB205">#REF!</definedName>
    <definedName name="RANGEQUERY17_F7_30_DEPRUB206">#REF!</definedName>
    <definedName name="RANGEQUERY17_F7_30_DEPRUB207">#REF!</definedName>
    <definedName name="RANGEQUERY17_F7_30_DEPRUB301">#REF!</definedName>
    <definedName name="RANGEQUERY17_F7_30_DEPRUB302">#REF!</definedName>
    <definedName name="RANGEQUERY17_F7_30_DEPRUB303">#REF!</definedName>
    <definedName name="RANGEQUERY17_F7_30_DEPRUB304">#REF!</definedName>
    <definedName name="RANGEQUERY17_F7_30_DEPRUB305">#REF!</definedName>
    <definedName name="RANGEQUERY17_F7_30_DEPRUB306">#REF!</definedName>
    <definedName name="RANGEQUERY17_F7_30_DEPRUB307">#REF!</definedName>
    <definedName name="RANGEQUERY17_F7_30_DEPRUB401">#REF!</definedName>
    <definedName name="RANGEQUERY17_F7_30_DEPRUB402">#REF!</definedName>
    <definedName name="RANGEQUERY17_F7_30_DEPRUB403">#REF!</definedName>
    <definedName name="RANGEQUERY17_F7_30_DEPRUB404">#REF!</definedName>
    <definedName name="RANGEQUERY17_F7_30_DEPRUB405">#REF!</definedName>
    <definedName name="RANGEQUERY17_F7_30_DEPRUB406">#REF!</definedName>
    <definedName name="RANGEQUERY17_F7_30_DEPRUB407">#REF!</definedName>
    <definedName name="RANGEQUERY17_F7_30_DEPRUB501">#REF!</definedName>
    <definedName name="RANGEQUERY17_F7_30_DEPRUB502">#REF!</definedName>
    <definedName name="RANGEQUERY17_F7_30_DEPRUB503">#REF!</definedName>
    <definedName name="RANGEQUERY17_F7_30_DEPRUB504">#REF!</definedName>
    <definedName name="RANGEQUERY17_F7_30_DEPRUB505">#REF!</definedName>
    <definedName name="RANGEQUERY17_F7_30_DEPRUB506">#REF!</definedName>
    <definedName name="RANGEQUERY17_F7_30_DEPRUB507">#REF!</definedName>
    <definedName name="RANGEQUERY17_F7_30_DEPRUB601">#REF!</definedName>
    <definedName name="RANGEQUERY17_F7_30_DEPRUB602">#REF!</definedName>
    <definedName name="RANGEQUERY17_F7_30_DEPRUB603">#REF!</definedName>
    <definedName name="RANGEQUERY17_F7_30_DEPRUB604">#REF!</definedName>
    <definedName name="RANGEQUERY17_F7_30_DEPRUB605">#REF!</definedName>
    <definedName name="RANGEQUERY17_F7_30_DEPRUB606">#REF!</definedName>
    <definedName name="RANGEQUERY17_F7_30_DEPRUB607">#REF!</definedName>
    <definedName name="RANGEQUERY17_F7_30_DEPRUB701">#REF!</definedName>
    <definedName name="RANGEQUERY17_F7_30_DEPRUB702">#REF!</definedName>
    <definedName name="RANGEQUERY17_F7_30_DEPRUB703">#REF!</definedName>
    <definedName name="RANGEQUERY17_F7_30_DEPRUB704">#REF!</definedName>
    <definedName name="RANGEQUERY17_F7_30_DEPRUB705">#REF!</definedName>
    <definedName name="RANGEQUERY17_F7_30_DEPRUB706">#REF!</definedName>
    <definedName name="RANGEQUERY17_F7_30_DEPRUB707">#REF!</definedName>
    <definedName name="RANGEQUERY17_F7_30_DEPRUB801">#REF!</definedName>
    <definedName name="RANGEQUERY17_F7_30_DEPRUB802">#REF!</definedName>
    <definedName name="RANGEQUERY17_F7_30_DEPRUB803">#REF!</definedName>
    <definedName name="RANGEQUERY17_F7_30_DEPRUB804">#REF!</definedName>
    <definedName name="RANGEQUERY17_F7_30_DEPRUB805">#REF!</definedName>
    <definedName name="RANGEQUERY17_F7_30_DEPRUB806">#REF!</definedName>
    <definedName name="RANGEQUERY17_F7_30_DEPRUB807">#REF!</definedName>
    <definedName name="RANGEQUERY17_F7_30_DEPRUB901">#REF!</definedName>
    <definedName name="RANGEQUERY17_F7_30_DEPRUB902">#REF!</definedName>
    <definedName name="RANGEQUERY17_F7_30_DEPRUB903">#REF!</definedName>
    <definedName name="RANGEQUERY17_F7_30_DEPRUB904">#REF!</definedName>
    <definedName name="RANGEQUERY17_F7_30_DEPRUB905">#REF!</definedName>
    <definedName name="RANGEQUERY17_F7_30_DEPRUB906">#REF!</definedName>
    <definedName name="RANGEQUERY17_F7_30_DEPRUB907">#REF!</definedName>
    <definedName name="RANGEQUERY17_F7_30_DEPVAL1001">#REF!</definedName>
    <definedName name="RANGEQUERY17_F7_30_DEPVAL1002">#REF!</definedName>
    <definedName name="RANGEQUERY17_F7_30_DEPVAL1003">#REF!</definedName>
    <definedName name="RANGEQUERY17_F7_30_DEPVAL1004">#REF!</definedName>
    <definedName name="RANGEQUERY17_F7_30_DEPVAL1005">#REF!</definedName>
    <definedName name="RANGEQUERY17_F7_30_DEPVAL1006">#REF!</definedName>
    <definedName name="RANGEQUERY17_F7_30_DEPVAL1007">#REF!</definedName>
    <definedName name="RANGEQUERY17_F7_30_DEPVAL1101">#REF!</definedName>
    <definedName name="RANGEQUERY17_F7_30_DEPVAL1102">#REF!</definedName>
    <definedName name="RANGEQUERY17_F7_30_DEPVAL1103">#REF!</definedName>
    <definedName name="RANGEQUERY17_F7_30_DEPVAL1104">#REF!</definedName>
    <definedName name="RANGEQUERY17_F7_30_DEPVAL1105">#REF!</definedName>
    <definedName name="RANGEQUERY17_F7_30_DEPVAL1106">#REF!</definedName>
    <definedName name="RANGEQUERY17_F7_30_DEPVAL1107">#REF!</definedName>
    <definedName name="RANGEQUERY17_F7_30_DEPVAL1201">#REF!</definedName>
    <definedName name="RANGEQUERY17_F7_30_DEPVAL1202">#REF!</definedName>
    <definedName name="RANGEQUERY17_F7_30_DEPVAL1203">#REF!</definedName>
    <definedName name="RANGEQUERY17_F7_30_DEPVAL1204">#REF!</definedName>
    <definedName name="RANGEQUERY17_F7_30_DEPVAL1205">#REF!</definedName>
    <definedName name="RANGEQUERY17_F7_30_DEPVAL1206">#REF!</definedName>
    <definedName name="RANGEQUERY17_F7_30_DEPVAL1207">#REF!</definedName>
    <definedName name="RANGEQUERY17_F7_30_DEPVAL1301">#REF!</definedName>
    <definedName name="RANGEQUERY17_F7_30_DEPVAL1302">#REF!</definedName>
    <definedName name="RANGEQUERY17_F7_30_DEPVAL1303">#REF!</definedName>
    <definedName name="RANGEQUERY17_F7_30_DEPVAL1304">#REF!</definedName>
    <definedName name="RANGEQUERY17_F7_30_DEPVAL1305">#REF!</definedName>
    <definedName name="RANGEQUERY17_F7_30_DEPVAL1306">#REF!</definedName>
    <definedName name="RANGEQUERY17_F7_30_DEPVAL1307">#REF!</definedName>
    <definedName name="RANGEQUERY17_F7_30_DEPVAL1401">#REF!</definedName>
    <definedName name="RANGEQUERY17_F7_30_DEPVAL1402">#REF!</definedName>
    <definedName name="RANGEQUERY17_F7_30_DEPVAL1403">#REF!</definedName>
    <definedName name="RANGEQUERY17_F7_30_DEPVAL1404">#REF!</definedName>
    <definedName name="RANGEQUERY17_F7_30_DEPVAL1405">#REF!</definedName>
    <definedName name="RANGEQUERY17_F7_30_DEPVAL1406">#REF!</definedName>
    <definedName name="RANGEQUERY17_F7_30_DEPVAL1407">#REF!</definedName>
    <definedName name="RANGEQUERY17_F7_30_DEPVAL1501">#REF!</definedName>
    <definedName name="RANGEQUERY17_F7_30_DEPVAL1502">#REF!</definedName>
    <definedName name="RANGEQUERY17_F7_30_DEPVAL1503">#REF!</definedName>
    <definedName name="RANGEQUERY17_F7_30_DEPVAL1504">#REF!</definedName>
    <definedName name="RANGEQUERY17_F7_30_DEPVAL1505">#REF!</definedName>
    <definedName name="RANGEQUERY17_F7_30_DEPVAL1506">#REF!</definedName>
    <definedName name="RANGEQUERY17_F7_30_DEPVAL1507">#REF!</definedName>
    <definedName name="RANGEQUERY17_F7_30_DEPVAL1601">#REF!</definedName>
    <definedName name="RANGEQUERY17_F7_30_DEPVAL1602">#REF!</definedName>
    <definedName name="RANGEQUERY17_F7_30_DEPVAL1603">#REF!</definedName>
    <definedName name="RANGEQUERY17_F7_30_DEPVAL1604">#REF!</definedName>
    <definedName name="RANGEQUERY17_F7_30_DEPVAL1605">#REF!</definedName>
    <definedName name="RANGEQUERY17_F7_30_DEPVAL1606">#REF!</definedName>
    <definedName name="RANGEQUERY17_F7_30_DEPVAL1607">#REF!</definedName>
    <definedName name="RANGEQUERY17_F7_30_DEPVAL1701">#REF!</definedName>
    <definedName name="RANGEQUERY17_F7_30_DEPVAL1702">#REF!</definedName>
    <definedName name="RANGEQUERY17_F7_30_DEPVAL1703">#REF!</definedName>
    <definedName name="RANGEQUERY17_F7_30_DEPVAL1704">#REF!</definedName>
    <definedName name="RANGEQUERY17_F7_30_DEPVAL1705">#REF!</definedName>
    <definedName name="RANGEQUERY17_F7_30_DEPVAL1706">#REF!</definedName>
    <definedName name="RANGEQUERY17_F7_30_DEPVAL1707">#REF!</definedName>
    <definedName name="RANGEQUERY17_F7_30_DEPVAL201">#REF!</definedName>
    <definedName name="RANGEQUERY17_F7_30_DEPVAL202">#REF!</definedName>
    <definedName name="RANGEQUERY17_F7_30_DEPVAL203">#REF!</definedName>
    <definedName name="RANGEQUERY17_F7_30_DEPVAL204">#REF!</definedName>
    <definedName name="RANGEQUERY17_F7_30_DEPVAL205">#REF!</definedName>
    <definedName name="RANGEQUERY17_F7_30_DEPVAL206">#REF!</definedName>
    <definedName name="RANGEQUERY17_F7_30_DEPVAL207">#REF!</definedName>
    <definedName name="RANGEQUERY17_F7_30_DEPVAL301">#REF!</definedName>
    <definedName name="RANGEQUERY17_F7_30_DEPVAL302">#REF!</definedName>
    <definedName name="RANGEQUERY17_F7_30_DEPVAL303">#REF!</definedName>
    <definedName name="RANGEQUERY17_F7_30_DEPVAL304">#REF!</definedName>
    <definedName name="RANGEQUERY17_F7_30_DEPVAL305">#REF!</definedName>
    <definedName name="RANGEQUERY17_F7_30_DEPVAL306">#REF!</definedName>
    <definedName name="RANGEQUERY17_F7_30_DEPVAL307">#REF!</definedName>
    <definedName name="RANGEQUERY17_F7_30_DEPVAL401">#REF!</definedName>
    <definedName name="RANGEQUERY17_F7_30_DEPVAL402">#REF!</definedName>
    <definedName name="RANGEQUERY17_F7_30_DEPVAL403">#REF!</definedName>
    <definedName name="RANGEQUERY17_F7_30_DEPVAL404">#REF!</definedName>
    <definedName name="RANGEQUERY17_F7_30_DEPVAL405">#REF!</definedName>
    <definedName name="RANGEQUERY17_F7_30_DEPVAL406">#REF!</definedName>
    <definedName name="RANGEQUERY17_F7_30_DEPVAL407">#REF!</definedName>
    <definedName name="RANGEQUERY17_F7_30_DEPVAL501">#REF!</definedName>
    <definedName name="RANGEQUERY17_F7_30_DEPVAL502">#REF!</definedName>
    <definedName name="RANGEQUERY17_F7_30_DEPVAL503">#REF!</definedName>
    <definedName name="RANGEQUERY17_F7_30_DEPVAL504">#REF!</definedName>
    <definedName name="RANGEQUERY17_F7_30_DEPVAL505">#REF!</definedName>
    <definedName name="RANGEQUERY17_F7_30_DEPVAL506">#REF!</definedName>
    <definedName name="RANGEQUERY17_F7_30_DEPVAL507">#REF!</definedName>
    <definedName name="RANGEQUERY17_F7_30_DEPVAL601">#REF!</definedName>
    <definedName name="RANGEQUERY17_F7_30_DEPVAL602">#REF!</definedName>
    <definedName name="RANGEQUERY17_F7_30_DEPVAL603">#REF!</definedName>
    <definedName name="RANGEQUERY17_F7_30_DEPVAL604">#REF!</definedName>
    <definedName name="RANGEQUERY17_F7_30_DEPVAL605">#REF!</definedName>
    <definedName name="RANGEQUERY17_F7_30_DEPVAL606">#REF!</definedName>
    <definedName name="RANGEQUERY17_F7_30_DEPVAL607">#REF!</definedName>
    <definedName name="RANGEQUERY17_F7_30_DEPVAL701">#REF!</definedName>
    <definedName name="RANGEQUERY17_F7_30_DEPVAL702">#REF!</definedName>
    <definedName name="RANGEQUERY17_F7_30_DEPVAL703">#REF!</definedName>
    <definedName name="RANGEQUERY17_F7_30_DEPVAL704">#REF!</definedName>
    <definedName name="RANGEQUERY17_F7_30_DEPVAL705">#REF!</definedName>
    <definedName name="RANGEQUERY17_F7_30_DEPVAL706">#REF!</definedName>
    <definedName name="RANGEQUERY17_F7_30_DEPVAL707">#REF!</definedName>
    <definedName name="RANGEQUERY17_F7_30_DEPVAL801">#REF!</definedName>
    <definedName name="RANGEQUERY17_F7_30_DEPVAL802">#REF!</definedName>
    <definedName name="RANGEQUERY17_F7_30_DEPVAL803">#REF!</definedName>
    <definedName name="RANGEQUERY17_F7_30_DEPVAL804">#REF!</definedName>
    <definedName name="RANGEQUERY17_F7_30_DEPVAL805">#REF!</definedName>
    <definedName name="RANGEQUERY17_F7_30_DEPVAL806">#REF!</definedName>
    <definedName name="RANGEQUERY17_F7_30_DEPVAL807">#REF!</definedName>
    <definedName name="RANGEQUERY17_F7_30_DEPVAL901">#REF!</definedName>
    <definedName name="RANGEQUERY17_F7_30_DEPVAL902">#REF!</definedName>
    <definedName name="RANGEQUERY17_F7_30_DEPVAL903">#REF!</definedName>
    <definedName name="RANGEQUERY17_F7_30_DEPVAL904">#REF!</definedName>
    <definedName name="RANGEQUERY17_F7_30_DEPVAL905">#REF!</definedName>
    <definedName name="RANGEQUERY17_F7_30_DEPVAL906">#REF!</definedName>
    <definedName name="RANGEQUERY17_F7_30_DEPVAL907">#REF!</definedName>
    <definedName name="RANGEQUERY2_F7_30_DEPRUB1001">#REF!</definedName>
    <definedName name="RANGEQUERY2_F7_30_DEPRUB1002">#REF!</definedName>
    <definedName name="RANGEQUERY2_F7_30_DEPRUB1003">#REF!</definedName>
    <definedName name="RANGEQUERY2_F7_30_DEPRUB1004">#REF!</definedName>
    <definedName name="RANGEQUERY2_F7_30_DEPRUB1005">#REF!</definedName>
    <definedName name="RANGEQUERY2_F7_30_DEPRUB1006">#REF!</definedName>
    <definedName name="RANGEQUERY2_F7_30_DEPRUB1007">#REF!</definedName>
    <definedName name="RANGEQUERY2_F7_30_DEPRUB1101">#REF!</definedName>
    <definedName name="RANGEQUERY2_F7_30_DEPRUB1102">#REF!</definedName>
    <definedName name="RANGEQUERY2_F7_30_DEPRUB1103">#REF!</definedName>
    <definedName name="RANGEQUERY2_F7_30_DEPRUB1104">#REF!</definedName>
    <definedName name="RANGEQUERY2_F7_30_DEPRUB1105">#REF!</definedName>
    <definedName name="RANGEQUERY2_F7_30_DEPRUB1106">#REF!</definedName>
    <definedName name="RANGEQUERY2_F7_30_DEPRUB1107">#REF!</definedName>
    <definedName name="RANGEQUERY2_F7_30_DEPRUB1201">#REF!</definedName>
    <definedName name="RANGEQUERY2_F7_30_DEPRUB1202">#REF!</definedName>
    <definedName name="RANGEQUERY2_F7_30_DEPRUB1203">#REF!</definedName>
    <definedName name="RANGEQUERY2_F7_30_DEPRUB1204">#REF!</definedName>
    <definedName name="RANGEQUERY2_F7_30_DEPRUB1205">#REF!</definedName>
    <definedName name="RANGEQUERY2_F7_30_DEPRUB1206">#REF!</definedName>
    <definedName name="RANGEQUERY2_F7_30_DEPRUB1207">#REF!</definedName>
    <definedName name="RANGEQUERY2_F7_30_DEPRUB1301">#REF!</definedName>
    <definedName name="RANGEQUERY2_F7_30_DEPRUB1302">#REF!</definedName>
    <definedName name="RANGEQUERY2_F7_30_DEPRUB1303">#REF!</definedName>
    <definedName name="RANGEQUERY2_F7_30_DEPRUB1304">#REF!</definedName>
    <definedName name="RANGEQUERY2_F7_30_DEPRUB1305">#REF!</definedName>
    <definedName name="RANGEQUERY2_F7_30_DEPRUB1306">#REF!</definedName>
    <definedName name="RANGEQUERY2_F7_30_DEPRUB1307">#REF!</definedName>
    <definedName name="RANGEQUERY2_F7_30_DEPRUB1401">#REF!</definedName>
    <definedName name="RANGEQUERY2_F7_30_DEPRUB1402">#REF!</definedName>
    <definedName name="RANGEQUERY2_F7_30_DEPRUB1403">#REF!</definedName>
    <definedName name="RANGEQUERY2_F7_30_DEPRUB1404">#REF!</definedName>
    <definedName name="RANGEQUERY2_F7_30_DEPRUB1405">#REF!</definedName>
    <definedName name="RANGEQUERY2_F7_30_DEPRUB1406">#REF!</definedName>
    <definedName name="RANGEQUERY2_F7_30_DEPRUB1407">#REF!</definedName>
    <definedName name="RANGEQUERY2_F7_30_DEPRUB1501">#REF!</definedName>
    <definedName name="RANGEQUERY2_F7_30_DEPRUB1502">#REF!</definedName>
    <definedName name="RANGEQUERY2_F7_30_DEPRUB1503">#REF!</definedName>
    <definedName name="RANGEQUERY2_F7_30_DEPRUB1504">#REF!</definedName>
    <definedName name="RANGEQUERY2_F7_30_DEPRUB1505">#REF!</definedName>
    <definedName name="RANGEQUERY2_F7_30_DEPRUB1506">#REF!</definedName>
    <definedName name="RANGEQUERY2_F7_30_DEPRUB1507">#REF!</definedName>
    <definedName name="RANGEQUERY2_F7_30_DEPRUB1601">#REF!</definedName>
    <definedName name="RANGEQUERY2_F7_30_DEPRUB1602">#REF!</definedName>
    <definedName name="RANGEQUERY2_F7_30_DEPRUB1603">#REF!</definedName>
    <definedName name="RANGEQUERY2_F7_30_DEPRUB1604">#REF!</definedName>
    <definedName name="RANGEQUERY2_F7_30_DEPRUB1605">#REF!</definedName>
    <definedName name="RANGEQUERY2_F7_30_DEPRUB1606">#REF!</definedName>
    <definedName name="RANGEQUERY2_F7_30_DEPRUB1607">#REF!</definedName>
    <definedName name="RANGEQUERY2_F7_30_DEPRUB1701">#REF!</definedName>
    <definedName name="RANGEQUERY2_F7_30_DEPRUB1702">#REF!</definedName>
    <definedName name="RANGEQUERY2_F7_30_DEPRUB1703">#REF!</definedName>
    <definedName name="RANGEQUERY2_F7_30_DEPRUB1704">#REF!</definedName>
    <definedName name="RANGEQUERY2_F7_30_DEPRUB1705">#REF!</definedName>
    <definedName name="RANGEQUERY2_F7_30_DEPRUB1706">#REF!</definedName>
    <definedName name="RANGEQUERY2_F7_30_DEPRUB1707">#REF!</definedName>
    <definedName name="RANGEQUERY2_F7_30_DEPRUB201">#REF!</definedName>
    <definedName name="RANGEQUERY2_F7_30_DEPRUB202">#REF!</definedName>
    <definedName name="RANGEQUERY2_F7_30_DEPRUB203">#REF!</definedName>
    <definedName name="RANGEQUERY2_F7_30_DEPRUB204">#REF!</definedName>
    <definedName name="RANGEQUERY2_F7_30_DEPRUB205">#REF!</definedName>
    <definedName name="RANGEQUERY2_F7_30_DEPRUB206">#REF!</definedName>
    <definedName name="RANGEQUERY2_F7_30_DEPRUB207">#REF!</definedName>
    <definedName name="RANGEQUERY2_F7_30_DEPRUB301">#REF!</definedName>
    <definedName name="RANGEQUERY2_F7_30_DEPRUB302">#REF!</definedName>
    <definedName name="RANGEQUERY2_F7_30_DEPRUB303">#REF!</definedName>
    <definedName name="RANGEQUERY2_F7_30_DEPRUB304">#REF!</definedName>
    <definedName name="RANGEQUERY2_F7_30_DEPRUB305">#REF!</definedName>
    <definedName name="RANGEQUERY2_F7_30_DEPRUB306">#REF!</definedName>
    <definedName name="RANGEQUERY2_F7_30_DEPRUB307">#REF!</definedName>
    <definedName name="RANGEQUERY2_F7_30_DEPRUB401">#REF!</definedName>
    <definedName name="RANGEQUERY2_F7_30_DEPRUB402">#REF!</definedName>
    <definedName name="RANGEQUERY2_F7_30_DEPRUB403">#REF!</definedName>
    <definedName name="RANGEQUERY2_F7_30_DEPRUB404">#REF!</definedName>
    <definedName name="RANGEQUERY2_F7_30_DEPRUB405">#REF!</definedName>
    <definedName name="RANGEQUERY2_F7_30_DEPRUB406">#REF!</definedName>
    <definedName name="RANGEQUERY2_F7_30_DEPRUB407">#REF!</definedName>
    <definedName name="RANGEQUERY2_F7_30_DEPRUB501">#REF!</definedName>
    <definedName name="RANGEQUERY2_F7_30_DEPRUB502">#REF!</definedName>
    <definedName name="RANGEQUERY2_F7_30_DEPRUB503">#REF!</definedName>
    <definedName name="RANGEQUERY2_F7_30_DEPRUB504">#REF!</definedName>
    <definedName name="RANGEQUERY2_F7_30_DEPRUB505">#REF!</definedName>
    <definedName name="RANGEQUERY2_F7_30_DEPRUB506">#REF!</definedName>
    <definedName name="RANGEQUERY2_F7_30_DEPRUB507">#REF!</definedName>
    <definedName name="RANGEQUERY2_F7_30_DEPRUB601">#REF!</definedName>
    <definedName name="RANGEQUERY2_F7_30_DEPRUB602">#REF!</definedName>
    <definedName name="RANGEQUERY2_F7_30_DEPRUB603">#REF!</definedName>
    <definedName name="RANGEQUERY2_F7_30_DEPRUB604">#REF!</definedName>
    <definedName name="RANGEQUERY2_F7_30_DEPRUB605">#REF!</definedName>
    <definedName name="RANGEQUERY2_F7_30_DEPRUB606">#REF!</definedName>
    <definedName name="RANGEQUERY2_F7_30_DEPRUB607">#REF!</definedName>
    <definedName name="RANGEQUERY2_F7_30_DEPRUB701">#REF!</definedName>
    <definedName name="RANGEQUERY2_F7_30_DEPRUB702">#REF!</definedName>
    <definedName name="RANGEQUERY2_F7_30_DEPRUB703">#REF!</definedName>
    <definedName name="RANGEQUERY2_F7_30_DEPRUB704">#REF!</definedName>
    <definedName name="RANGEQUERY2_F7_30_DEPRUB705">#REF!</definedName>
    <definedName name="RANGEQUERY2_F7_30_DEPRUB706">#REF!</definedName>
    <definedName name="RANGEQUERY2_F7_30_DEPRUB707">#REF!</definedName>
    <definedName name="RANGEQUERY2_F7_30_DEPRUB801">#REF!</definedName>
    <definedName name="RANGEQUERY2_F7_30_DEPRUB802">#REF!</definedName>
    <definedName name="RANGEQUERY2_F7_30_DEPRUB803">#REF!</definedName>
    <definedName name="RANGEQUERY2_F7_30_DEPRUB804">#REF!</definedName>
    <definedName name="RANGEQUERY2_F7_30_DEPRUB805">#REF!</definedName>
    <definedName name="RANGEQUERY2_F7_30_DEPRUB806">#REF!</definedName>
    <definedName name="RANGEQUERY2_F7_30_DEPRUB807">#REF!</definedName>
    <definedName name="RANGEQUERY2_F7_30_DEPRUB901">#REF!</definedName>
    <definedName name="RANGEQUERY2_F7_30_DEPRUB902">#REF!</definedName>
    <definedName name="RANGEQUERY2_F7_30_DEPRUB903">#REF!</definedName>
    <definedName name="RANGEQUERY2_F7_30_DEPRUB904">#REF!</definedName>
    <definedName name="RANGEQUERY2_F7_30_DEPRUB905">#REF!</definedName>
    <definedName name="RANGEQUERY2_F7_30_DEPRUB906">#REF!</definedName>
    <definedName name="RANGEQUERY2_F7_30_DEPRUB907">#REF!</definedName>
    <definedName name="RANGEQUERY2_F7_30_DEPVAL1001">#REF!</definedName>
    <definedName name="RANGEQUERY2_F7_30_DEPVAL1002">#REF!</definedName>
    <definedName name="RANGEQUERY2_F7_30_DEPVAL1003">#REF!</definedName>
    <definedName name="RANGEQUERY2_F7_30_DEPVAL1004">#REF!</definedName>
    <definedName name="RANGEQUERY2_F7_30_DEPVAL1005">#REF!</definedName>
    <definedName name="RANGEQUERY2_F7_30_DEPVAL1006">#REF!</definedName>
    <definedName name="RANGEQUERY2_F7_30_DEPVAL1007">#REF!</definedName>
    <definedName name="RANGEQUERY2_F7_30_DEPVAL1101">#REF!</definedName>
    <definedName name="RANGEQUERY2_F7_30_DEPVAL1102">#REF!</definedName>
    <definedName name="RANGEQUERY2_F7_30_DEPVAL1103">#REF!</definedName>
    <definedName name="RANGEQUERY2_F7_30_DEPVAL1104">#REF!</definedName>
    <definedName name="RANGEQUERY2_F7_30_DEPVAL1105">#REF!</definedName>
    <definedName name="RANGEQUERY2_F7_30_DEPVAL1106">#REF!</definedName>
    <definedName name="RANGEQUERY2_F7_30_DEPVAL1107">#REF!</definedName>
    <definedName name="RANGEQUERY2_F7_30_DEPVAL1201">#REF!</definedName>
    <definedName name="RANGEQUERY2_F7_30_DEPVAL1202">#REF!</definedName>
    <definedName name="RANGEQUERY2_F7_30_DEPVAL1203">#REF!</definedName>
    <definedName name="RANGEQUERY2_F7_30_DEPVAL1204">#REF!</definedName>
    <definedName name="RANGEQUERY2_F7_30_DEPVAL1205">#REF!</definedName>
    <definedName name="RANGEQUERY2_F7_30_DEPVAL1206">#REF!</definedName>
    <definedName name="RANGEQUERY2_F7_30_DEPVAL1207">#REF!</definedName>
    <definedName name="RANGEQUERY2_F7_30_DEPVAL1301">#REF!</definedName>
    <definedName name="RANGEQUERY2_F7_30_DEPVAL1302">#REF!</definedName>
    <definedName name="RANGEQUERY2_F7_30_DEPVAL1303">#REF!</definedName>
    <definedName name="RANGEQUERY2_F7_30_DEPVAL1304">#REF!</definedName>
    <definedName name="RANGEQUERY2_F7_30_DEPVAL1305">#REF!</definedName>
    <definedName name="RANGEQUERY2_F7_30_DEPVAL1306">#REF!</definedName>
    <definedName name="RANGEQUERY2_F7_30_DEPVAL1307">#REF!</definedName>
    <definedName name="RANGEQUERY2_F7_30_DEPVAL1401">#REF!</definedName>
    <definedName name="RANGEQUERY2_F7_30_DEPVAL1402">#REF!</definedName>
    <definedName name="RANGEQUERY2_F7_30_DEPVAL1403">#REF!</definedName>
    <definedName name="RANGEQUERY2_F7_30_DEPVAL1404">#REF!</definedName>
    <definedName name="RANGEQUERY2_F7_30_DEPVAL1405">#REF!</definedName>
    <definedName name="RANGEQUERY2_F7_30_DEPVAL1406">#REF!</definedName>
    <definedName name="RANGEQUERY2_F7_30_DEPVAL1407">#REF!</definedName>
    <definedName name="RANGEQUERY2_F7_30_DEPVAL1501">#REF!</definedName>
    <definedName name="RANGEQUERY2_F7_30_DEPVAL1502">#REF!</definedName>
    <definedName name="RANGEQUERY2_F7_30_DEPVAL1503">#REF!</definedName>
    <definedName name="RANGEQUERY2_F7_30_DEPVAL1504">#REF!</definedName>
    <definedName name="RANGEQUERY2_F7_30_DEPVAL1505">#REF!</definedName>
    <definedName name="RANGEQUERY2_F7_30_DEPVAL1506">#REF!</definedName>
    <definedName name="RANGEQUERY2_F7_30_DEPVAL1507">#REF!</definedName>
    <definedName name="RANGEQUERY2_F7_30_DEPVAL1601">#REF!</definedName>
    <definedName name="RANGEQUERY2_F7_30_DEPVAL1602">#REF!</definedName>
    <definedName name="RANGEQUERY2_F7_30_DEPVAL1603">#REF!</definedName>
    <definedName name="RANGEQUERY2_F7_30_DEPVAL1604">#REF!</definedName>
    <definedName name="RANGEQUERY2_F7_30_DEPVAL1605">#REF!</definedName>
    <definedName name="RANGEQUERY2_F7_30_DEPVAL1606">#REF!</definedName>
    <definedName name="RANGEQUERY2_F7_30_DEPVAL1607">#REF!</definedName>
    <definedName name="RANGEQUERY2_F7_30_DEPVAL1701">#REF!</definedName>
    <definedName name="RANGEQUERY2_F7_30_DEPVAL1702">#REF!</definedName>
    <definedName name="RANGEQUERY2_F7_30_DEPVAL1703">#REF!</definedName>
    <definedName name="RANGEQUERY2_F7_30_DEPVAL1704">#REF!</definedName>
    <definedName name="RANGEQUERY2_F7_30_DEPVAL1705">#REF!</definedName>
    <definedName name="RANGEQUERY2_F7_30_DEPVAL1706">#REF!</definedName>
    <definedName name="RANGEQUERY2_F7_30_DEPVAL1707">#REF!</definedName>
    <definedName name="RANGEQUERY2_F7_30_DEPVAL201">#REF!</definedName>
    <definedName name="RANGEQUERY2_F7_30_DEPVAL202">#REF!</definedName>
    <definedName name="RANGEQUERY2_F7_30_DEPVAL203">#REF!</definedName>
    <definedName name="RANGEQUERY2_F7_30_DEPVAL204">#REF!</definedName>
    <definedName name="RANGEQUERY2_F7_30_DEPVAL205">#REF!</definedName>
    <definedName name="RANGEQUERY2_F7_30_DEPVAL206">#REF!</definedName>
    <definedName name="RANGEQUERY2_F7_30_DEPVAL207">#REF!</definedName>
    <definedName name="RANGEQUERY2_F7_30_DEPVAL301">#REF!</definedName>
    <definedName name="RANGEQUERY2_F7_30_DEPVAL302">#REF!</definedName>
    <definedName name="RANGEQUERY2_F7_30_DEPVAL303">#REF!</definedName>
    <definedName name="RANGEQUERY2_F7_30_DEPVAL304">#REF!</definedName>
    <definedName name="RANGEQUERY2_F7_30_DEPVAL305">#REF!</definedName>
    <definedName name="RANGEQUERY2_F7_30_DEPVAL306">#REF!</definedName>
    <definedName name="RANGEQUERY2_F7_30_DEPVAL307">#REF!</definedName>
    <definedName name="RANGEQUERY2_F7_30_DEPVAL401">#REF!</definedName>
    <definedName name="RANGEQUERY2_F7_30_DEPVAL402">#REF!</definedName>
    <definedName name="RANGEQUERY2_F7_30_DEPVAL403">#REF!</definedName>
    <definedName name="RANGEQUERY2_F7_30_DEPVAL404">#REF!</definedName>
    <definedName name="RANGEQUERY2_F7_30_DEPVAL405">#REF!</definedName>
    <definedName name="RANGEQUERY2_F7_30_DEPVAL406">#REF!</definedName>
    <definedName name="RANGEQUERY2_F7_30_DEPVAL407">#REF!</definedName>
    <definedName name="RANGEQUERY2_F7_30_DEPVAL501">#REF!</definedName>
    <definedName name="RANGEQUERY2_F7_30_DEPVAL502">#REF!</definedName>
    <definedName name="RANGEQUERY2_F7_30_DEPVAL503">#REF!</definedName>
    <definedName name="RANGEQUERY2_F7_30_DEPVAL504">#REF!</definedName>
    <definedName name="RANGEQUERY2_F7_30_DEPVAL505">#REF!</definedName>
    <definedName name="RANGEQUERY2_F7_30_DEPVAL506">#REF!</definedName>
    <definedName name="RANGEQUERY2_F7_30_DEPVAL507">#REF!</definedName>
    <definedName name="RANGEQUERY2_F7_30_DEPVAL601">#REF!</definedName>
    <definedName name="RANGEQUERY2_F7_30_DEPVAL602">#REF!</definedName>
    <definedName name="RANGEQUERY2_F7_30_DEPVAL603">#REF!</definedName>
    <definedName name="RANGEQUERY2_F7_30_DEPVAL604">#REF!</definedName>
    <definedName name="RANGEQUERY2_F7_30_DEPVAL605">#REF!</definedName>
    <definedName name="RANGEQUERY2_F7_30_DEPVAL606">#REF!</definedName>
    <definedName name="RANGEQUERY2_F7_30_DEPVAL607">#REF!</definedName>
    <definedName name="RANGEQUERY2_F7_30_DEPVAL701">#REF!</definedName>
    <definedName name="RANGEQUERY2_F7_30_DEPVAL702">#REF!</definedName>
    <definedName name="RANGEQUERY2_F7_30_DEPVAL703">#REF!</definedName>
    <definedName name="RANGEQUERY2_F7_30_DEPVAL704">#REF!</definedName>
    <definedName name="RANGEQUERY2_F7_30_DEPVAL705">#REF!</definedName>
    <definedName name="RANGEQUERY2_F7_30_DEPVAL706">#REF!</definedName>
    <definedName name="RANGEQUERY2_F7_30_DEPVAL707">#REF!</definedName>
    <definedName name="RANGEQUERY2_F7_30_DEPVAL801">#REF!</definedName>
    <definedName name="RANGEQUERY2_F7_30_DEPVAL802">#REF!</definedName>
    <definedName name="RANGEQUERY2_F7_30_DEPVAL803">#REF!</definedName>
    <definedName name="RANGEQUERY2_F7_30_DEPVAL804">#REF!</definedName>
    <definedName name="RANGEQUERY2_F7_30_DEPVAL805">#REF!</definedName>
    <definedName name="RANGEQUERY2_F7_30_DEPVAL806">#REF!</definedName>
    <definedName name="RANGEQUERY2_F7_30_DEPVAL807">#REF!</definedName>
    <definedName name="RANGEQUERY2_F7_30_DEPVAL901">#REF!</definedName>
    <definedName name="RANGEQUERY2_F7_30_DEPVAL902">#REF!</definedName>
    <definedName name="RANGEQUERY2_F7_30_DEPVAL903">#REF!</definedName>
    <definedName name="RANGEQUERY2_F7_30_DEPVAL904">#REF!</definedName>
    <definedName name="RANGEQUERY2_F7_30_DEPVAL905">#REF!</definedName>
    <definedName name="RANGEQUERY2_F7_30_DEPVAL906">#REF!</definedName>
    <definedName name="RANGEQUERY2_F7_30_DEPVAL907">#REF!</definedName>
    <definedName name="RANGEQUERY3_F7_30_DEPRUB1001">#REF!</definedName>
    <definedName name="RANGEQUERY3_F7_30_DEPRUB1002">#REF!</definedName>
    <definedName name="RANGEQUERY3_F7_30_DEPRUB1003">#REF!</definedName>
    <definedName name="RANGEQUERY3_F7_30_DEPRUB1004">#REF!</definedName>
    <definedName name="RANGEQUERY3_F7_30_DEPRUB1005">#REF!</definedName>
    <definedName name="RANGEQUERY3_F7_30_DEPRUB1006">#REF!</definedName>
    <definedName name="RANGEQUERY3_F7_30_DEPRUB1007">#REF!</definedName>
    <definedName name="RANGEQUERY3_F7_30_DEPRUB1101">#REF!</definedName>
    <definedName name="RANGEQUERY3_F7_30_DEPRUB1102">#REF!</definedName>
    <definedName name="RANGEQUERY3_F7_30_DEPRUB1103">#REF!</definedName>
    <definedName name="RANGEQUERY3_F7_30_DEPRUB1104">#REF!</definedName>
    <definedName name="RANGEQUERY3_F7_30_DEPRUB1105">#REF!</definedName>
    <definedName name="RANGEQUERY3_F7_30_DEPRUB1106">#REF!</definedName>
    <definedName name="RANGEQUERY3_F7_30_DEPRUB1107">#REF!</definedName>
    <definedName name="RANGEQUERY3_F7_30_DEPRUB1201">#REF!</definedName>
    <definedName name="RANGEQUERY3_F7_30_DEPRUB1202">#REF!</definedName>
    <definedName name="RANGEQUERY3_F7_30_DEPRUB1203">#REF!</definedName>
    <definedName name="RANGEQUERY3_F7_30_DEPRUB1204">#REF!</definedName>
    <definedName name="RANGEQUERY3_F7_30_DEPRUB1205">#REF!</definedName>
    <definedName name="RANGEQUERY3_F7_30_DEPRUB1206">#REF!</definedName>
    <definedName name="RANGEQUERY3_F7_30_DEPRUB1207">#REF!</definedName>
    <definedName name="RANGEQUERY3_F7_30_DEPRUB1301">#REF!</definedName>
    <definedName name="RANGEQUERY3_F7_30_DEPRUB1302">#REF!</definedName>
    <definedName name="RANGEQUERY3_F7_30_DEPRUB1303">#REF!</definedName>
    <definedName name="RANGEQUERY3_F7_30_DEPRUB1304">#REF!</definedName>
    <definedName name="RANGEQUERY3_F7_30_DEPRUB1305">#REF!</definedName>
    <definedName name="RANGEQUERY3_F7_30_DEPRUB1306">#REF!</definedName>
    <definedName name="RANGEQUERY3_F7_30_DEPRUB1307">#REF!</definedName>
    <definedName name="RANGEQUERY3_F7_30_DEPRUB1401">#REF!</definedName>
    <definedName name="RANGEQUERY3_F7_30_DEPRUB1402">#REF!</definedName>
    <definedName name="RANGEQUERY3_F7_30_DEPRUB1403">#REF!</definedName>
    <definedName name="RANGEQUERY3_F7_30_DEPRUB1404">#REF!</definedName>
    <definedName name="RANGEQUERY3_F7_30_DEPRUB1405">#REF!</definedName>
    <definedName name="RANGEQUERY3_F7_30_DEPRUB1406">#REF!</definedName>
    <definedName name="RANGEQUERY3_F7_30_DEPRUB1407">#REF!</definedName>
    <definedName name="RANGEQUERY3_F7_30_DEPRUB1501">#REF!</definedName>
    <definedName name="RANGEQUERY3_F7_30_DEPRUB1502">#REF!</definedName>
    <definedName name="RANGEQUERY3_F7_30_DEPRUB1503">#REF!</definedName>
    <definedName name="RANGEQUERY3_F7_30_DEPRUB1504">#REF!</definedName>
    <definedName name="RANGEQUERY3_F7_30_DEPRUB1505">#REF!</definedName>
    <definedName name="RANGEQUERY3_F7_30_DEPRUB1506">#REF!</definedName>
    <definedName name="RANGEQUERY3_F7_30_DEPRUB1507">#REF!</definedName>
    <definedName name="RANGEQUERY3_F7_30_DEPRUB1601">#REF!</definedName>
    <definedName name="RANGEQUERY3_F7_30_DEPRUB1602">#REF!</definedName>
    <definedName name="RANGEQUERY3_F7_30_DEPRUB1603">#REF!</definedName>
    <definedName name="RANGEQUERY3_F7_30_DEPRUB1604">#REF!</definedName>
    <definedName name="RANGEQUERY3_F7_30_DEPRUB1605">#REF!</definedName>
    <definedName name="RANGEQUERY3_F7_30_DEPRUB1606">#REF!</definedName>
    <definedName name="RANGEQUERY3_F7_30_DEPRUB1607">#REF!</definedName>
    <definedName name="RANGEQUERY3_F7_30_DEPRUB1701">#REF!</definedName>
    <definedName name="RANGEQUERY3_F7_30_DEPRUB1702">#REF!</definedName>
    <definedName name="RANGEQUERY3_F7_30_DEPRUB1703">#REF!</definedName>
    <definedName name="RANGEQUERY3_F7_30_DEPRUB1704">#REF!</definedName>
    <definedName name="RANGEQUERY3_F7_30_DEPRUB1705">#REF!</definedName>
    <definedName name="RANGEQUERY3_F7_30_DEPRUB1706">#REF!</definedName>
    <definedName name="RANGEQUERY3_F7_30_DEPRUB1707">#REF!</definedName>
    <definedName name="RANGEQUERY3_F7_30_DEPRUB201">#REF!</definedName>
    <definedName name="RANGEQUERY3_F7_30_DEPRUB202">#REF!</definedName>
    <definedName name="RANGEQUERY3_F7_30_DEPRUB203">#REF!</definedName>
    <definedName name="RANGEQUERY3_F7_30_DEPRUB204">#REF!</definedName>
    <definedName name="RANGEQUERY3_F7_30_DEPRUB205">#REF!</definedName>
    <definedName name="RANGEQUERY3_F7_30_DEPRUB206">#REF!</definedName>
    <definedName name="RANGEQUERY3_F7_30_DEPRUB207">#REF!</definedName>
    <definedName name="RANGEQUERY3_F7_30_DEPRUB301">#REF!</definedName>
    <definedName name="RANGEQUERY3_F7_30_DEPRUB302">#REF!</definedName>
    <definedName name="RANGEQUERY3_F7_30_DEPRUB303">#REF!</definedName>
    <definedName name="RANGEQUERY3_F7_30_DEPRUB304">#REF!</definedName>
    <definedName name="RANGEQUERY3_F7_30_DEPRUB305">#REF!</definedName>
    <definedName name="RANGEQUERY3_F7_30_DEPRUB306">#REF!</definedName>
    <definedName name="RANGEQUERY3_F7_30_DEPRUB307">#REF!</definedName>
    <definedName name="RANGEQUERY3_F7_30_DEPRUB401">#REF!</definedName>
    <definedName name="RANGEQUERY3_F7_30_DEPRUB402">#REF!</definedName>
    <definedName name="RANGEQUERY3_F7_30_DEPRUB403">#REF!</definedName>
    <definedName name="RANGEQUERY3_F7_30_DEPRUB404">#REF!</definedName>
    <definedName name="RANGEQUERY3_F7_30_DEPRUB405">#REF!</definedName>
    <definedName name="RANGEQUERY3_F7_30_DEPRUB406">#REF!</definedName>
    <definedName name="RANGEQUERY3_F7_30_DEPRUB407">#REF!</definedName>
    <definedName name="RANGEQUERY3_F7_30_DEPRUB501">#REF!</definedName>
    <definedName name="RANGEQUERY3_F7_30_DEPRUB502">#REF!</definedName>
    <definedName name="RANGEQUERY3_F7_30_DEPRUB503">#REF!</definedName>
    <definedName name="RANGEQUERY3_F7_30_DEPRUB504">#REF!</definedName>
    <definedName name="RANGEQUERY3_F7_30_DEPRUB505">#REF!</definedName>
    <definedName name="RANGEQUERY3_F7_30_DEPRUB506">#REF!</definedName>
    <definedName name="RANGEQUERY3_F7_30_DEPRUB507">#REF!</definedName>
    <definedName name="RANGEQUERY3_F7_30_DEPRUB601">#REF!</definedName>
    <definedName name="RANGEQUERY3_F7_30_DEPRUB602">#REF!</definedName>
    <definedName name="RANGEQUERY3_F7_30_DEPRUB603">#REF!</definedName>
    <definedName name="RANGEQUERY3_F7_30_DEPRUB604">#REF!</definedName>
    <definedName name="RANGEQUERY3_F7_30_DEPRUB605">#REF!</definedName>
    <definedName name="RANGEQUERY3_F7_30_DEPRUB606">#REF!</definedName>
    <definedName name="RANGEQUERY3_F7_30_DEPRUB607">#REF!</definedName>
    <definedName name="RANGEQUERY3_F7_30_DEPRUB701">#REF!</definedName>
    <definedName name="RANGEQUERY3_F7_30_DEPRUB702">#REF!</definedName>
    <definedName name="RANGEQUERY3_F7_30_DEPRUB703">#REF!</definedName>
    <definedName name="RANGEQUERY3_F7_30_DEPRUB704">#REF!</definedName>
    <definedName name="RANGEQUERY3_F7_30_DEPRUB705">#REF!</definedName>
    <definedName name="RANGEQUERY3_F7_30_DEPRUB706">#REF!</definedName>
    <definedName name="RANGEQUERY3_F7_30_DEPRUB707">#REF!</definedName>
    <definedName name="RANGEQUERY3_F7_30_DEPRUB801">#REF!</definedName>
    <definedName name="RANGEQUERY3_F7_30_DEPRUB802">#REF!</definedName>
    <definedName name="RANGEQUERY3_F7_30_DEPRUB803">#REF!</definedName>
    <definedName name="RANGEQUERY3_F7_30_DEPRUB804">#REF!</definedName>
    <definedName name="RANGEQUERY3_F7_30_DEPRUB805">#REF!</definedName>
    <definedName name="RANGEQUERY3_F7_30_DEPRUB806">#REF!</definedName>
    <definedName name="RANGEQUERY3_F7_30_DEPRUB807">#REF!</definedName>
    <definedName name="RANGEQUERY3_F7_30_DEPRUB901">#REF!</definedName>
    <definedName name="RANGEQUERY3_F7_30_DEPRUB902">#REF!</definedName>
    <definedName name="RANGEQUERY3_F7_30_DEPRUB903">#REF!</definedName>
    <definedName name="RANGEQUERY3_F7_30_DEPRUB904">#REF!</definedName>
    <definedName name="RANGEQUERY3_F7_30_DEPRUB905">#REF!</definedName>
    <definedName name="RANGEQUERY3_F7_30_DEPRUB906">#REF!</definedName>
    <definedName name="RANGEQUERY3_F7_30_DEPRUB907">#REF!</definedName>
    <definedName name="RANGEQUERY3_F7_30_DEPVAL1001">#REF!</definedName>
    <definedName name="RANGEQUERY3_F7_30_DEPVAL1002">#REF!</definedName>
    <definedName name="RANGEQUERY3_F7_30_DEPVAL1003">#REF!</definedName>
    <definedName name="RANGEQUERY3_F7_30_DEPVAL1004">#REF!</definedName>
    <definedName name="RANGEQUERY3_F7_30_DEPVAL1005">#REF!</definedName>
    <definedName name="RANGEQUERY3_F7_30_DEPVAL1006">#REF!</definedName>
    <definedName name="RANGEQUERY3_F7_30_DEPVAL1007">#REF!</definedName>
    <definedName name="RANGEQUERY3_F7_30_DEPVAL1101">#REF!</definedName>
    <definedName name="RANGEQUERY3_F7_30_DEPVAL1102">#REF!</definedName>
    <definedName name="RANGEQUERY3_F7_30_DEPVAL1103">#REF!</definedName>
    <definedName name="RANGEQUERY3_F7_30_DEPVAL1104">#REF!</definedName>
    <definedName name="RANGEQUERY3_F7_30_DEPVAL1105">#REF!</definedName>
    <definedName name="RANGEQUERY3_F7_30_DEPVAL1106">#REF!</definedName>
    <definedName name="RANGEQUERY3_F7_30_DEPVAL1107">#REF!</definedName>
    <definedName name="RANGEQUERY3_F7_30_DEPVAL1201">#REF!</definedName>
    <definedName name="RANGEQUERY3_F7_30_DEPVAL1202">#REF!</definedName>
    <definedName name="RANGEQUERY3_F7_30_DEPVAL1203">#REF!</definedName>
    <definedName name="RANGEQUERY3_F7_30_DEPVAL1204">#REF!</definedName>
    <definedName name="RANGEQUERY3_F7_30_DEPVAL1205">#REF!</definedName>
    <definedName name="RANGEQUERY3_F7_30_DEPVAL1206">#REF!</definedName>
    <definedName name="RANGEQUERY3_F7_30_DEPVAL1207">#REF!</definedName>
    <definedName name="RANGEQUERY3_F7_30_DEPVAL1301">#REF!</definedName>
    <definedName name="RANGEQUERY3_F7_30_DEPVAL1302">#REF!</definedName>
    <definedName name="RANGEQUERY3_F7_30_DEPVAL1303">#REF!</definedName>
    <definedName name="RANGEQUERY3_F7_30_DEPVAL1304">#REF!</definedName>
    <definedName name="RANGEQUERY3_F7_30_DEPVAL1305">#REF!</definedName>
    <definedName name="RANGEQUERY3_F7_30_DEPVAL1306">#REF!</definedName>
    <definedName name="RANGEQUERY3_F7_30_DEPVAL1307">#REF!</definedName>
    <definedName name="RANGEQUERY3_F7_30_DEPVAL1401">#REF!</definedName>
    <definedName name="RANGEQUERY3_F7_30_DEPVAL1402">#REF!</definedName>
    <definedName name="RANGEQUERY3_F7_30_DEPVAL1403">#REF!</definedName>
    <definedName name="RANGEQUERY3_F7_30_DEPVAL1404">#REF!</definedName>
    <definedName name="RANGEQUERY3_F7_30_DEPVAL1405">#REF!</definedName>
    <definedName name="RANGEQUERY3_F7_30_DEPVAL1406">#REF!</definedName>
    <definedName name="RANGEQUERY3_F7_30_DEPVAL1407">#REF!</definedName>
    <definedName name="RANGEQUERY3_F7_30_DEPVAL1501">#REF!</definedName>
    <definedName name="RANGEQUERY3_F7_30_DEPVAL1502">#REF!</definedName>
    <definedName name="RANGEQUERY3_F7_30_DEPVAL1503">#REF!</definedName>
    <definedName name="RANGEQUERY3_F7_30_DEPVAL1504">#REF!</definedName>
    <definedName name="RANGEQUERY3_F7_30_DEPVAL1505">#REF!</definedName>
    <definedName name="RANGEQUERY3_F7_30_DEPVAL1506">#REF!</definedName>
    <definedName name="RANGEQUERY3_F7_30_DEPVAL1507">#REF!</definedName>
    <definedName name="RANGEQUERY3_F7_30_DEPVAL1601">#REF!</definedName>
    <definedName name="RANGEQUERY3_F7_30_DEPVAL1602">#REF!</definedName>
    <definedName name="RANGEQUERY3_F7_30_DEPVAL1603">#REF!</definedName>
    <definedName name="RANGEQUERY3_F7_30_DEPVAL1604">#REF!</definedName>
    <definedName name="RANGEQUERY3_F7_30_DEPVAL1605">#REF!</definedName>
    <definedName name="RANGEQUERY3_F7_30_DEPVAL1606">#REF!</definedName>
    <definedName name="RANGEQUERY3_F7_30_DEPVAL1607">#REF!</definedName>
    <definedName name="RANGEQUERY3_F7_30_DEPVAL1701">#REF!</definedName>
    <definedName name="RANGEQUERY3_F7_30_DEPVAL1702">#REF!</definedName>
    <definedName name="RANGEQUERY3_F7_30_DEPVAL1703">#REF!</definedName>
    <definedName name="RANGEQUERY3_F7_30_DEPVAL1704">#REF!</definedName>
    <definedName name="RANGEQUERY3_F7_30_DEPVAL1705">#REF!</definedName>
    <definedName name="RANGEQUERY3_F7_30_DEPVAL1706">#REF!</definedName>
    <definedName name="RANGEQUERY3_F7_30_DEPVAL1707">#REF!</definedName>
    <definedName name="RANGEQUERY3_F7_30_DEPVAL201">#REF!</definedName>
    <definedName name="RANGEQUERY3_F7_30_DEPVAL202">#REF!</definedName>
    <definedName name="RANGEQUERY3_F7_30_DEPVAL203">#REF!</definedName>
    <definedName name="RANGEQUERY3_F7_30_DEPVAL204">#REF!</definedName>
    <definedName name="RANGEQUERY3_F7_30_DEPVAL205">#REF!</definedName>
    <definedName name="RANGEQUERY3_F7_30_DEPVAL206">#REF!</definedName>
    <definedName name="RANGEQUERY3_F7_30_DEPVAL207">#REF!</definedName>
    <definedName name="RANGEQUERY3_F7_30_DEPVAL301">#REF!</definedName>
    <definedName name="RANGEQUERY3_F7_30_DEPVAL302">#REF!</definedName>
    <definedName name="RANGEQUERY3_F7_30_DEPVAL303">#REF!</definedName>
    <definedName name="RANGEQUERY3_F7_30_DEPVAL304">#REF!</definedName>
    <definedName name="RANGEQUERY3_F7_30_DEPVAL305">#REF!</definedName>
    <definedName name="RANGEQUERY3_F7_30_DEPVAL306">#REF!</definedName>
    <definedName name="RANGEQUERY3_F7_30_DEPVAL307">#REF!</definedName>
    <definedName name="RANGEQUERY3_F7_30_DEPVAL401">#REF!</definedName>
    <definedName name="RANGEQUERY3_F7_30_DEPVAL402">#REF!</definedName>
    <definedName name="RANGEQUERY3_F7_30_DEPVAL403">#REF!</definedName>
    <definedName name="RANGEQUERY3_F7_30_DEPVAL404">#REF!</definedName>
    <definedName name="RANGEQUERY3_F7_30_DEPVAL405">#REF!</definedName>
    <definedName name="RANGEQUERY3_F7_30_DEPVAL406">#REF!</definedName>
    <definedName name="RANGEQUERY3_F7_30_DEPVAL407">#REF!</definedName>
    <definedName name="RANGEQUERY3_F7_30_DEPVAL501">#REF!</definedName>
    <definedName name="RANGEQUERY3_F7_30_DEPVAL502">#REF!</definedName>
    <definedName name="RANGEQUERY3_F7_30_DEPVAL503">#REF!</definedName>
    <definedName name="RANGEQUERY3_F7_30_DEPVAL504">#REF!</definedName>
    <definedName name="RANGEQUERY3_F7_30_DEPVAL505">#REF!</definedName>
    <definedName name="RANGEQUERY3_F7_30_DEPVAL506">#REF!</definedName>
    <definedName name="RANGEQUERY3_F7_30_DEPVAL507">#REF!</definedName>
    <definedName name="RANGEQUERY3_F7_30_DEPVAL601">#REF!</definedName>
    <definedName name="RANGEQUERY3_F7_30_DEPVAL602">#REF!</definedName>
    <definedName name="RANGEQUERY3_F7_30_DEPVAL603">#REF!</definedName>
    <definedName name="RANGEQUERY3_F7_30_DEPVAL604">#REF!</definedName>
    <definedName name="RANGEQUERY3_F7_30_DEPVAL605">#REF!</definedName>
    <definedName name="RANGEQUERY3_F7_30_DEPVAL606">#REF!</definedName>
    <definedName name="RANGEQUERY3_F7_30_DEPVAL607">#REF!</definedName>
    <definedName name="RANGEQUERY3_F7_30_DEPVAL701">#REF!</definedName>
    <definedName name="RANGEQUERY3_F7_30_DEPVAL702">#REF!</definedName>
    <definedName name="RANGEQUERY3_F7_30_DEPVAL703">#REF!</definedName>
    <definedName name="RANGEQUERY3_F7_30_DEPVAL704">#REF!</definedName>
    <definedName name="RANGEQUERY3_F7_30_DEPVAL705">#REF!</definedName>
    <definedName name="RANGEQUERY3_F7_30_DEPVAL706">#REF!</definedName>
    <definedName name="RANGEQUERY3_F7_30_DEPVAL707">#REF!</definedName>
    <definedName name="RANGEQUERY3_F7_30_DEPVAL801">#REF!</definedName>
    <definedName name="RANGEQUERY3_F7_30_DEPVAL802">#REF!</definedName>
    <definedName name="RANGEQUERY3_F7_30_DEPVAL803">#REF!</definedName>
    <definedName name="RANGEQUERY3_F7_30_DEPVAL804">#REF!</definedName>
    <definedName name="RANGEQUERY3_F7_30_DEPVAL805">#REF!</definedName>
    <definedName name="RANGEQUERY3_F7_30_DEPVAL806">#REF!</definedName>
    <definedName name="RANGEQUERY3_F7_30_DEPVAL807">#REF!</definedName>
    <definedName name="RANGEQUERY3_F7_30_DEPVAL901">#REF!</definedName>
    <definedName name="RANGEQUERY3_F7_30_DEPVAL902">#REF!</definedName>
    <definedName name="RANGEQUERY3_F7_30_DEPVAL903">#REF!</definedName>
    <definedName name="RANGEQUERY3_F7_30_DEPVAL904">#REF!</definedName>
    <definedName name="RANGEQUERY3_F7_30_DEPVAL905">#REF!</definedName>
    <definedName name="RANGEQUERY3_F7_30_DEPVAL906">#REF!</definedName>
    <definedName name="RANGEQUERY3_F7_30_DEPVAL907">#REF!</definedName>
    <definedName name="RANGEQUERY4_F7_30_DEPRUB1001">#REF!</definedName>
    <definedName name="RANGEQUERY4_F7_30_DEPRUB1002">#REF!</definedName>
    <definedName name="RANGEQUERY4_F7_30_DEPRUB1003">#REF!</definedName>
    <definedName name="RANGEQUERY4_F7_30_DEPRUB1004">#REF!</definedName>
    <definedName name="RANGEQUERY4_F7_30_DEPRUB1005">#REF!</definedName>
    <definedName name="RANGEQUERY4_F7_30_DEPRUB1006">#REF!</definedName>
    <definedName name="RANGEQUERY4_F7_30_DEPRUB1007">#REF!</definedName>
    <definedName name="RANGEQUERY4_F7_30_DEPRUB1101">#REF!</definedName>
    <definedName name="RANGEQUERY4_F7_30_DEPRUB1102">#REF!</definedName>
    <definedName name="RANGEQUERY4_F7_30_DEPRUB1103">#REF!</definedName>
    <definedName name="RANGEQUERY4_F7_30_DEPRUB1104">#REF!</definedName>
    <definedName name="RANGEQUERY4_F7_30_DEPRUB1105">#REF!</definedName>
    <definedName name="RANGEQUERY4_F7_30_DEPRUB1106">#REF!</definedName>
    <definedName name="RANGEQUERY4_F7_30_DEPRUB1107">#REF!</definedName>
    <definedName name="RANGEQUERY4_F7_30_DEPRUB1201">#REF!</definedName>
    <definedName name="RANGEQUERY4_F7_30_DEPRUB1202">#REF!</definedName>
    <definedName name="RANGEQUERY4_F7_30_DEPRUB1203">#REF!</definedName>
    <definedName name="RANGEQUERY4_F7_30_DEPRUB1204">#REF!</definedName>
    <definedName name="RANGEQUERY4_F7_30_DEPRUB1205">#REF!</definedName>
    <definedName name="RANGEQUERY4_F7_30_DEPRUB1206">#REF!</definedName>
    <definedName name="RANGEQUERY4_F7_30_DEPRUB1207">#REF!</definedName>
    <definedName name="RANGEQUERY4_F7_30_DEPRUB1301">#REF!</definedName>
    <definedName name="RANGEQUERY4_F7_30_DEPRUB1302">#REF!</definedName>
    <definedName name="RANGEQUERY4_F7_30_DEPRUB1303">#REF!</definedName>
    <definedName name="RANGEQUERY4_F7_30_DEPRUB1304">#REF!</definedName>
    <definedName name="RANGEQUERY4_F7_30_DEPRUB1305">#REF!</definedName>
    <definedName name="RANGEQUERY4_F7_30_DEPRUB1306">#REF!</definedName>
    <definedName name="RANGEQUERY4_F7_30_DEPRUB1307">#REF!</definedName>
    <definedName name="RANGEQUERY4_F7_30_DEPRUB1401">#REF!</definedName>
    <definedName name="RANGEQUERY4_F7_30_DEPRUB1402">#REF!</definedName>
    <definedName name="RANGEQUERY4_F7_30_DEPRUB1403">#REF!</definedName>
    <definedName name="RANGEQUERY4_F7_30_DEPRUB1404">#REF!</definedName>
    <definedName name="RANGEQUERY4_F7_30_DEPRUB1405">#REF!</definedName>
    <definedName name="RANGEQUERY4_F7_30_DEPRUB1406">#REF!</definedName>
    <definedName name="RANGEQUERY4_F7_30_DEPRUB1407">#REF!</definedName>
    <definedName name="RANGEQUERY4_F7_30_DEPRUB1501">#REF!</definedName>
    <definedName name="RANGEQUERY4_F7_30_DEPRUB1502">#REF!</definedName>
    <definedName name="RANGEQUERY4_F7_30_DEPRUB1503">#REF!</definedName>
    <definedName name="RANGEQUERY4_F7_30_DEPRUB1504">#REF!</definedName>
    <definedName name="RANGEQUERY4_F7_30_DEPRUB1505">#REF!</definedName>
    <definedName name="RANGEQUERY4_F7_30_DEPRUB1506">#REF!</definedName>
    <definedName name="RANGEQUERY4_F7_30_DEPRUB1507">#REF!</definedName>
    <definedName name="RANGEQUERY4_F7_30_DEPRUB1601">#REF!</definedName>
    <definedName name="RANGEQUERY4_F7_30_DEPRUB1602">#REF!</definedName>
    <definedName name="RANGEQUERY4_F7_30_DEPRUB1603">#REF!</definedName>
    <definedName name="RANGEQUERY4_F7_30_DEPRUB1604">#REF!</definedName>
    <definedName name="RANGEQUERY4_F7_30_DEPRUB1605">#REF!</definedName>
    <definedName name="RANGEQUERY4_F7_30_DEPRUB1606">#REF!</definedName>
    <definedName name="RANGEQUERY4_F7_30_DEPRUB1607">#REF!</definedName>
    <definedName name="RANGEQUERY4_F7_30_DEPRUB1701">#REF!</definedName>
    <definedName name="RANGEQUERY4_F7_30_DEPRUB1702">#REF!</definedName>
    <definedName name="RANGEQUERY4_F7_30_DEPRUB1703">#REF!</definedName>
    <definedName name="RANGEQUERY4_F7_30_DEPRUB1704">#REF!</definedName>
    <definedName name="RANGEQUERY4_F7_30_DEPRUB1705">#REF!</definedName>
    <definedName name="RANGEQUERY4_F7_30_DEPRUB1706">#REF!</definedName>
    <definedName name="RANGEQUERY4_F7_30_DEPRUB1707">#REF!</definedName>
    <definedName name="RANGEQUERY4_F7_30_DEPRUB201">#REF!</definedName>
    <definedName name="RANGEQUERY4_F7_30_DEPRUB202">#REF!</definedName>
    <definedName name="RANGEQUERY4_F7_30_DEPRUB203">#REF!</definedName>
    <definedName name="RANGEQUERY4_F7_30_DEPRUB204">#REF!</definedName>
    <definedName name="RANGEQUERY4_F7_30_DEPRUB205">#REF!</definedName>
    <definedName name="RANGEQUERY4_F7_30_DEPRUB206">#REF!</definedName>
    <definedName name="RANGEQUERY4_F7_30_DEPRUB207">#REF!</definedName>
    <definedName name="RANGEQUERY4_F7_30_DEPRUB301">#REF!</definedName>
    <definedName name="RANGEQUERY4_F7_30_DEPRUB302">#REF!</definedName>
    <definedName name="RANGEQUERY4_F7_30_DEPRUB303">#REF!</definedName>
    <definedName name="RANGEQUERY4_F7_30_DEPRUB304">#REF!</definedName>
    <definedName name="RANGEQUERY4_F7_30_DEPRUB305">#REF!</definedName>
    <definedName name="RANGEQUERY4_F7_30_DEPRUB306">#REF!</definedName>
    <definedName name="RANGEQUERY4_F7_30_DEPRUB307">#REF!</definedName>
    <definedName name="RANGEQUERY4_F7_30_DEPRUB401">#REF!</definedName>
    <definedName name="RANGEQUERY4_F7_30_DEPRUB402">#REF!</definedName>
    <definedName name="RANGEQUERY4_F7_30_DEPRUB403">#REF!</definedName>
    <definedName name="RANGEQUERY4_F7_30_DEPRUB404">#REF!</definedName>
    <definedName name="RANGEQUERY4_F7_30_DEPRUB405">#REF!</definedName>
    <definedName name="RANGEQUERY4_F7_30_DEPRUB406">#REF!</definedName>
    <definedName name="RANGEQUERY4_F7_30_DEPRUB407">#REF!</definedName>
    <definedName name="RANGEQUERY4_F7_30_DEPRUB501">#REF!</definedName>
    <definedName name="RANGEQUERY4_F7_30_DEPRUB502">#REF!</definedName>
    <definedName name="RANGEQUERY4_F7_30_DEPRUB503">#REF!</definedName>
    <definedName name="RANGEQUERY4_F7_30_DEPRUB504">#REF!</definedName>
    <definedName name="RANGEQUERY4_F7_30_DEPRUB505">#REF!</definedName>
    <definedName name="RANGEQUERY4_F7_30_DEPRUB506">#REF!</definedName>
    <definedName name="RANGEQUERY4_F7_30_DEPRUB507">#REF!</definedName>
    <definedName name="RANGEQUERY4_F7_30_DEPRUB601">#REF!</definedName>
    <definedName name="RANGEQUERY4_F7_30_DEPRUB602">#REF!</definedName>
    <definedName name="RANGEQUERY4_F7_30_DEPRUB603">#REF!</definedName>
    <definedName name="RANGEQUERY4_F7_30_DEPRUB604">#REF!</definedName>
    <definedName name="RANGEQUERY4_F7_30_DEPRUB605">#REF!</definedName>
    <definedName name="RANGEQUERY4_F7_30_DEPRUB606">#REF!</definedName>
    <definedName name="RANGEQUERY4_F7_30_DEPRUB607">#REF!</definedName>
    <definedName name="RANGEQUERY4_F7_30_DEPRUB701">#REF!</definedName>
    <definedName name="RANGEQUERY4_F7_30_DEPRUB702">#REF!</definedName>
    <definedName name="RANGEQUERY4_F7_30_DEPRUB703">#REF!</definedName>
    <definedName name="RANGEQUERY4_F7_30_DEPRUB704">#REF!</definedName>
    <definedName name="RANGEQUERY4_F7_30_DEPRUB705">#REF!</definedName>
    <definedName name="RANGEQUERY4_F7_30_DEPRUB706">#REF!</definedName>
    <definedName name="RANGEQUERY4_F7_30_DEPRUB707">#REF!</definedName>
    <definedName name="RANGEQUERY4_F7_30_DEPRUB801">#REF!</definedName>
    <definedName name="RANGEQUERY4_F7_30_DEPRUB802">#REF!</definedName>
    <definedName name="RANGEQUERY4_F7_30_DEPRUB803">#REF!</definedName>
    <definedName name="RANGEQUERY4_F7_30_DEPRUB804">#REF!</definedName>
    <definedName name="RANGEQUERY4_F7_30_DEPRUB805">#REF!</definedName>
    <definedName name="RANGEQUERY4_F7_30_DEPRUB806">#REF!</definedName>
    <definedName name="RANGEQUERY4_F7_30_DEPRUB807">#REF!</definedName>
    <definedName name="RANGEQUERY4_F7_30_DEPRUB901">#REF!</definedName>
    <definedName name="RANGEQUERY4_F7_30_DEPRUB902">#REF!</definedName>
    <definedName name="RANGEQUERY4_F7_30_DEPRUB903">#REF!</definedName>
    <definedName name="RANGEQUERY4_F7_30_DEPRUB904">#REF!</definedName>
    <definedName name="RANGEQUERY4_F7_30_DEPRUB905">#REF!</definedName>
    <definedName name="RANGEQUERY4_F7_30_DEPRUB906">#REF!</definedName>
    <definedName name="RANGEQUERY4_F7_30_DEPRUB907">#REF!</definedName>
    <definedName name="RANGEQUERY4_F7_30_DEPVAL1001">#REF!</definedName>
    <definedName name="RANGEQUERY4_F7_30_DEPVAL1002">#REF!</definedName>
    <definedName name="RANGEQUERY4_F7_30_DEPVAL1003">#REF!</definedName>
    <definedName name="RANGEQUERY4_F7_30_DEPVAL1004">#REF!</definedName>
    <definedName name="RANGEQUERY4_F7_30_DEPVAL1005">#REF!</definedName>
    <definedName name="RANGEQUERY4_F7_30_DEPVAL1006">#REF!</definedName>
    <definedName name="RANGEQUERY4_F7_30_DEPVAL1007">#REF!</definedName>
    <definedName name="RANGEQUERY4_F7_30_DEPVAL1101">#REF!</definedName>
    <definedName name="RANGEQUERY4_F7_30_DEPVAL1102">#REF!</definedName>
    <definedName name="RANGEQUERY4_F7_30_DEPVAL1103">#REF!</definedName>
    <definedName name="RANGEQUERY4_F7_30_DEPVAL1104">#REF!</definedName>
    <definedName name="RANGEQUERY4_F7_30_DEPVAL1105">#REF!</definedName>
    <definedName name="RANGEQUERY4_F7_30_DEPVAL1106">#REF!</definedName>
    <definedName name="RANGEQUERY4_F7_30_DEPVAL1107">#REF!</definedName>
    <definedName name="RANGEQUERY4_F7_30_DEPVAL1201">#REF!</definedName>
    <definedName name="RANGEQUERY4_F7_30_DEPVAL1202">#REF!</definedName>
    <definedName name="RANGEQUERY4_F7_30_DEPVAL1203">#REF!</definedName>
    <definedName name="RANGEQUERY4_F7_30_DEPVAL1204">#REF!</definedName>
    <definedName name="RANGEQUERY4_F7_30_DEPVAL1205">#REF!</definedName>
    <definedName name="RANGEQUERY4_F7_30_DEPVAL1206">#REF!</definedName>
    <definedName name="RANGEQUERY4_F7_30_DEPVAL1207">#REF!</definedName>
    <definedName name="RANGEQUERY4_F7_30_DEPVAL1301">#REF!</definedName>
    <definedName name="RANGEQUERY4_F7_30_DEPVAL1302">#REF!</definedName>
    <definedName name="RANGEQUERY4_F7_30_DEPVAL1303">#REF!</definedName>
    <definedName name="RANGEQUERY4_F7_30_DEPVAL1304">#REF!</definedName>
    <definedName name="RANGEQUERY4_F7_30_DEPVAL1305">#REF!</definedName>
    <definedName name="RANGEQUERY4_F7_30_DEPVAL1306">#REF!</definedName>
    <definedName name="RANGEQUERY4_F7_30_DEPVAL1307">#REF!</definedName>
    <definedName name="RANGEQUERY4_F7_30_DEPVAL1401">#REF!</definedName>
    <definedName name="RANGEQUERY4_F7_30_DEPVAL1402">#REF!</definedName>
    <definedName name="RANGEQUERY4_F7_30_DEPVAL1403">#REF!</definedName>
    <definedName name="RANGEQUERY4_F7_30_DEPVAL1404">#REF!</definedName>
    <definedName name="RANGEQUERY4_F7_30_DEPVAL1405">#REF!</definedName>
    <definedName name="RANGEQUERY4_F7_30_DEPVAL1406">#REF!</definedName>
    <definedName name="RANGEQUERY4_F7_30_DEPVAL1407">#REF!</definedName>
    <definedName name="RANGEQUERY4_F7_30_DEPVAL1501">#REF!</definedName>
    <definedName name="RANGEQUERY4_F7_30_DEPVAL1502">#REF!</definedName>
    <definedName name="RANGEQUERY4_F7_30_DEPVAL1503">#REF!</definedName>
    <definedName name="RANGEQUERY4_F7_30_DEPVAL1504">#REF!</definedName>
    <definedName name="RANGEQUERY4_F7_30_DEPVAL1505">#REF!</definedName>
    <definedName name="RANGEQUERY4_F7_30_DEPVAL1506">#REF!</definedName>
    <definedName name="RANGEQUERY4_F7_30_DEPVAL1507">#REF!</definedName>
    <definedName name="RANGEQUERY4_F7_30_DEPVAL1601">#REF!</definedName>
    <definedName name="RANGEQUERY4_F7_30_DEPVAL1602">#REF!</definedName>
    <definedName name="RANGEQUERY4_F7_30_DEPVAL1603">#REF!</definedName>
    <definedName name="RANGEQUERY4_F7_30_DEPVAL1604">#REF!</definedName>
    <definedName name="RANGEQUERY4_F7_30_DEPVAL1605">#REF!</definedName>
    <definedName name="RANGEQUERY4_F7_30_DEPVAL1606">#REF!</definedName>
    <definedName name="RANGEQUERY4_F7_30_DEPVAL1607">#REF!</definedName>
    <definedName name="RANGEQUERY4_F7_30_DEPVAL1701">#REF!</definedName>
    <definedName name="RANGEQUERY4_F7_30_DEPVAL1702">#REF!</definedName>
    <definedName name="RANGEQUERY4_F7_30_DEPVAL1703">#REF!</definedName>
    <definedName name="RANGEQUERY4_F7_30_DEPVAL1704">#REF!</definedName>
    <definedName name="RANGEQUERY4_F7_30_DEPVAL1705">#REF!</definedName>
    <definedName name="RANGEQUERY4_F7_30_DEPVAL1706">#REF!</definedName>
    <definedName name="RANGEQUERY4_F7_30_DEPVAL1707">#REF!</definedName>
    <definedName name="RANGEQUERY4_F7_30_DEPVAL201">#REF!</definedName>
    <definedName name="RANGEQUERY4_F7_30_DEPVAL202">#REF!</definedName>
    <definedName name="RANGEQUERY4_F7_30_DEPVAL203">#REF!</definedName>
    <definedName name="RANGEQUERY4_F7_30_DEPVAL204">#REF!</definedName>
    <definedName name="RANGEQUERY4_F7_30_DEPVAL205">#REF!</definedName>
    <definedName name="RANGEQUERY4_F7_30_DEPVAL206">#REF!</definedName>
    <definedName name="RANGEQUERY4_F7_30_DEPVAL207">#REF!</definedName>
    <definedName name="RANGEQUERY4_F7_30_DEPVAL301">#REF!</definedName>
    <definedName name="RANGEQUERY4_F7_30_DEPVAL302">#REF!</definedName>
    <definedName name="RANGEQUERY4_F7_30_DEPVAL303">#REF!</definedName>
    <definedName name="RANGEQUERY4_F7_30_DEPVAL304">#REF!</definedName>
    <definedName name="RANGEQUERY4_F7_30_DEPVAL305">#REF!</definedName>
    <definedName name="RANGEQUERY4_F7_30_DEPVAL306">#REF!</definedName>
    <definedName name="RANGEQUERY4_F7_30_DEPVAL307">#REF!</definedName>
    <definedName name="RANGEQUERY4_F7_30_DEPVAL401">#REF!</definedName>
    <definedName name="RANGEQUERY4_F7_30_DEPVAL402">#REF!</definedName>
    <definedName name="RANGEQUERY4_F7_30_DEPVAL403">#REF!</definedName>
    <definedName name="RANGEQUERY4_F7_30_DEPVAL404">#REF!</definedName>
    <definedName name="RANGEQUERY4_F7_30_DEPVAL405">#REF!</definedName>
    <definedName name="RANGEQUERY4_F7_30_DEPVAL406">#REF!</definedName>
    <definedName name="RANGEQUERY4_F7_30_DEPVAL407">#REF!</definedName>
    <definedName name="RANGEQUERY4_F7_30_DEPVAL501">#REF!</definedName>
    <definedName name="RANGEQUERY4_F7_30_DEPVAL502">#REF!</definedName>
    <definedName name="RANGEQUERY4_F7_30_DEPVAL503">#REF!</definedName>
    <definedName name="RANGEQUERY4_F7_30_DEPVAL504">#REF!</definedName>
    <definedName name="RANGEQUERY4_F7_30_DEPVAL505">#REF!</definedName>
    <definedName name="RANGEQUERY4_F7_30_DEPVAL506">#REF!</definedName>
    <definedName name="RANGEQUERY4_F7_30_DEPVAL507">#REF!</definedName>
    <definedName name="RANGEQUERY4_F7_30_DEPVAL601">#REF!</definedName>
    <definedName name="RANGEQUERY4_F7_30_DEPVAL602">#REF!</definedName>
    <definedName name="RANGEQUERY4_F7_30_DEPVAL603">#REF!</definedName>
    <definedName name="RANGEQUERY4_F7_30_DEPVAL604">#REF!</definedName>
    <definedName name="RANGEQUERY4_F7_30_DEPVAL605">#REF!</definedName>
    <definedName name="RANGEQUERY4_F7_30_DEPVAL606">#REF!</definedName>
    <definedName name="RANGEQUERY4_F7_30_DEPVAL607">#REF!</definedName>
    <definedName name="RANGEQUERY4_F7_30_DEPVAL701">#REF!</definedName>
    <definedName name="RANGEQUERY4_F7_30_DEPVAL702">#REF!</definedName>
    <definedName name="RANGEQUERY4_F7_30_DEPVAL703">#REF!</definedName>
    <definedName name="RANGEQUERY4_F7_30_DEPVAL704">#REF!</definedName>
    <definedName name="RANGEQUERY4_F7_30_DEPVAL705">#REF!</definedName>
    <definedName name="RANGEQUERY4_F7_30_DEPVAL706">#REF!</definedName>
    <definedName name="RANGEQUERY4_F7_30_DEPVAL707">#REF!</definedName>
    <definedName name="RANGEQUERY4_F7_30_DEPVAL801">#REF!</definedName>
    <definedName name="RANGEQUERY4_F7_30_DEPVAL802">#REF!</definedName>
    <definedName name="RANGEQUERY4_F7_30_DEPVAL803">#REF!</definedName>
    <definedName name="RANGEQUERY4_F7_30_DEPVAL804">#REF!</definedName>
    <definedName name="RANGEQUERY4_F7_30_DEPVAL805">#REF!</definedName>
    <definedName name="RANGEQUERY4_F7_30_DEPVAL806">#REF!</definedName>
    <definedName name="RANGEQUERY4_F7_30_DEPVAL807">#REF!</definedName>
    <definedName name="RANGEQUERY4_F7_30_DEPVAL901">#REF!</definedName>
    <definedName name="RANGEQUERY4_F7_30_DEPVAL902">#REF!</definedName>
    <definedName name="RANGEQUERY4_F7_30_DEPVAL903">#REF!</definedName>
    <definedName name="RANGEQUERY4_F7_30_DEPVAL904">#REF!</definedName>
    <definedName name="RANGEQUERY4_F7_30_DEPVAL905">#REF!</definedName>
    <definedName name="RANGEQUERY4_F7_30_DEPVAL906">#REF!</definedName>
    <definedName name="RANGEQUERY4_F7_30_DEPVAL907">#REF!</definedName>
    <definedName name="RANGEQUERY5_F7_30_DEPRUB1001">#REF!</definedName>
    <definedName name="RANGEQUERY5_F7_30_DEPRUB1002">#REF!</definedName>
    <definedName name="RANGEQUERY5_F7_30_DEPRUB1003">#REF!</definedName>
    <definedName name="RANGEQUERY5_F7_30_DEPRUB1004">#REF!</definedName>
    <definedName name="RANGEQUERY5_F7_30_DEPRUB1005">#REF!</definedName>
    <definedName name="RANGEQUERY5_F7_30_DEPRUB1006">#REF!</definedName>
    <definedName name="RANGEQUERY5_F7_30_DEPRUB1007">#REF!</definedName>
    <definedName name="RANGEQUERY5_F7_30_DEPRUB1101">#REF!</definedName>
    <definedName name="RANGEQUERY5_F7_30_DEPRUB1102">#REF!</definedName>
    <definedName name="RANGEQUERY5_F7_30_DEPRUB1103">#REF!</definedName>
    <definedName name="RANGEQUERY5_F7_30_DEPRUB1104">#REF!</definedName>
    <definedName name="RANGEQUERY5_F7_30_DEPRUB1105">#REF!</definedName>
    <definedName name="RANGEQUERY5_F7_30_DEPRUB1106">#REF!</definedName>
    <definedName name="RANGEQUERY5_F7_30_DEPRUB1107">#REF!</definedName>
    <definedName name="RANGEQUERY5_F7_30_DEPRUB1201">#REF!</definedName>
    <definedName name="RANGEQUERY5_F7_30_DEPRUB1202">#REF!</definedName>
    <definedName name="RANGEQUERY5_F7_30_DEPRUB1203">#REF!</definedName>
    <definedName name="RANGEQUERY5_F7_30_DEPRUB1204">#REF!</definedName>
    <definedName name="RANGEQUERY5_F7_30_DEPRUB1205">#REF!</definedName>
    <definedName name="RANGEQUERY5_F7_30_DEPRUB1206">#REF!</definedName>
    <definedName name="RANGEQUERY5_F7_30_DEPRUB1207">#REF!</definedName>
    <definedName name="RANGEQUERY5_F7_30_DEPRUB1301">#REF!</definedName>
    <definedName name="RANGEQUERY5_F7_30_DEPRUB1302">#REF!</definedName>
    <definedName name="RANGEQUERY5_F7_30_DEPRUB1303">#REF!</definedName>
    <definedName name="RANGEQUERY5_F7_30_DEPRUB1304">#REF!</definedName>
    <definedName name="RANGEQUERY5_F7_30_DEPRUB1305">#REF!</definedName>
    <definedName name="RANGEQUERY5_F7_30_DEPRUB1306">#REF!</definedName>
    <definedName name="RANGEQUERY5_F7_30_DEPRUB1307">#REF!</definedName>
    <definedName name="RANGEQUERY5_F7_30_DEPRUB1401">#REF!</definedName>
    <definedName name="RANGEQUERY5_F7_30_DEPRUB1402">#REF!</definedName>
    <definedName name="RANGEQUERY5_F7_30_DEPRUB1403">#REF!</definedName>
    <definedName name="RANGEQUERY5_F7_30_DEPRUB1404">#REF!</definedName>
    <definedName name="RANGEQUERY5_F7_30_DEPRUB1405">#REF!</definedName>
    <definedName name="RANGEQUERY5_F7_30_DEPRUB1406">#REF!</definedName>
    <definedName name="RANGEQUERY5_F7_30_DEPRUB1407">#REF!</definedName>
    <definedName name="RANGEQUERY5_F7_30_DEPRUB1501">#REF!</definedName>
    <definedName name="RANGEQUERY5_F7_30_DEPRUB1502">#REF!</definedName>
    <definedName name="RANGEQUERY5_F7_30_DEPRUB1503">#REF!</definedName>
    <definedName name="RANGEQUERY5_F7_30_DEPRUB1504">#REF!</definedName>
    <definedName name="RANGEQUERY5_F7_30_DEPRUB1505">#REF!</definedName>
    <definedName name="RANGEQUERY5_F7_30_DEPRUB1506">#REF!</definedName>
    <definedName name="RANGEQUERY5_F7_30_DEPRUB1507">#REF!</definedName>
    <definedName name="RANGEQUERY5_F7_30_DEPRUB1601">#REF!</definedName>
    <definedName name="RANGEQUERY5_F7_30_DEPRUB1602">#REF!</definedName>
    <definedName name="RANGEQUERY5_F7_30_DEPRUB1603">#REF!</definedName>
    <definedName name="RANGEQUERY5_F7_30_DEPRUB1604">#REF!</definedName>
    <definedName name="RANGEQUERY5_F7_30_DEPRUB1605">#REF!</definedName>
    <definedName name="RANGEQUERY5_F7_30_DEPRUB1606">#REF!</definedName>
    <definedName name="RANGEQUERY5_F7_30_DEPRUB1607">#REF!</definedName>
    <definedName name="RANGEQUERY5_F7_30_DEPRUB1701">#REF!</definedName>
    <definedName name="RANGEQUERY5_F7_30_DEPRUB1702">#REF!</definedName>
    <definedName name="RANGEQUERY5_F7_30_DEPRUB1703">#REF!</definedName>
    <definedName name="RANGEQUERY5_F7_30_DEPRUB1704">#REF!</definedName>
    <definedName name="RANGEQUERY5_F7_30_DEPRUB1705">#REF!</definedName>
    <definedName name="RANGEQUERY5_F7_30_DEPRUB1706">#REF!</definedName>
    <definedName name="RANGEQUERY5_F7_30_DEPRUB1707">#REF!</definedName>
    <definedName name="RANGEQUERY5_F7_30_DEPRUB201">#REF!</definedName>
    <definedName name="RANGEQUERY5_F7_30_DEPRUB202">#REF!</definedName>
    <definedName name="RANGEQUERY5_F7_30_DEPRUB203">#REF!</definedName>
    <definedName name="RANGEQUERY5_F7_30_DEPRUB204">#REF!</definedName>
    <definedName name="RANGEQUERY5_F7_30_DEPRUB205">#REF!</definedName>
    <definedName name="RANGEQUERY5_F7_30_DEPRUB206">#REF!</definedName>
    <definedName name="RANGEQUERY5_F7_30_DEPRUB207">#REF!</definedName>
    <definedName name="RANGEQUERY5_F7_30_DEPRUB301">#REF!</definedName>
    <definedName name="RANGEQUERY5_F7_30_DEPRUB302">#REF!</definedName>
    <definedName name="RANGEQUERY5_F7_30_DEPRUB303">#REF!</definedName>
    <definedName name="RANGEQUERY5_F7_30_DEPRUB304">#REF!</definedName>
    <definedName name="RANGEQUERY5_F7_30_DEPRUB305">#REF!</definedName>
    <definedName name="RANGEQUERY5_F7_30_DEPRUB306">#REF!</definedName>
    <definedName name="RANGEQUERY5_F7_30_DEPRUB307">#REF!</definedName>
    <definedName name="RANGEQUERY5_F7_30_DEPRUB401">#REF!</definedName>
    <definedName name="RANGEQUERY5_F7_30_DEPRUB402">#REF!</definedName>
    <definedName name="RANGEQUERY5_F7_30_DEPRUB403">#REF!</definedName>
    <definedName name="RANGEQUERY5_F7_30_DEPRUB404">#REF!</definedName>
    <definedName name="RANGEQUERY5_F7_30_DEPRUB405">#REF!</definedName>
    <definedName name="RANGEQUERY5_F7_30_DEPRUB406">#REF!</definedName>
    <definedName name="RANGEQUERY5_F7_30_DEPRUB407">#REF!</definedName>
    <definedName name="RANGEQUERY5_F7_30_DEPRUB501">#REF!</definedName>
    <definedName name="RANGEQUERY5_F7_30_DEPRUB502">#REF!</definedName>
    <definedName name="RANGEQUERY5_F7_30_DEPRUB503">#REF!</definedName>
    <definedName name="RANGEQUERY5_F7_30_DEPRUB504">#REF!</definedName>
    <definedName name="RANGEQUERY5_F7_30_DEPRUB505">#REF!</definedName>
    <definedName name="RANGEQUERY5_F7_30_DEPRUB506">#REF!</definedName>
    <definedName name="RANGEQUERY5_F7_30_DEPRUB507">#REF!</definedName>
    <definedName name="RANGEQUERY5_F7_30_DEPRUB601">#REF!</definedName>
    <definedName name="RANGEQUERY5_F7_30_DEPRUB602">#REF!</definedName>
    <definedName name="RANGEQUERY5_F7_30_DEPRUB603">#REF!</definedName>
    <definedName name="RANGEQUERY5_F7_30_DEPRUB604">#REF!</definedName>
    <definedName name="RANGEQUERY5_F7_30_DEPRUB605">#REF!</definedName>
    <definedName name="RANGEQUERY5_F7_30_DEPRUB606">#REF!</definedName>
    <definedName name="RANGEQUERY5_F7_30_DEPRUB607">#REF!</definedName>
    <definedName name="RANGEQUERY5_F7_30_DEPRUB701">#REF!</definedName>
    <definedName name="RANGEQUERY5_F7_30_DEPRUB702">#REF!</definedName>
    <definedName name="RANGEQUERY5_F7_30_DEPRUB703">#REF!</definedName>
    <definedName name="RANGEQUERY5_F7_30_DEPRUB704">#REF!</definedName>
    <definedName name="RANGEQUERY5_F7_30_DEPRUB705">#REF!</definedName>
    <definedName name="RANGEQUERY5_F7_30_DEPRUB706">#REF!</definedName>
    <definedName name="RANGEQUERY5_F7_30_DEPRUB707">#REF!</definedName>
    <definedName name="RANGEQUERY5_F7_30_DEPRUB801">#REF!</definedName>
    <definedName name="RANGEQUERY5_F7_30_DEPRUB802">#REF!</definedName>
    <definedName name="RANGEQUERY5_F7_30_DEPRUB803">#REF!</definedName>
    <definedName name="RANGEQUERY5_F7_30_DEPRUB804">#REF!</definedName>
    <definedName name="RANGEQUERY5_F7_30_DEPRUB805">#REF!</definedName>
    <definedName name="RANGEQUERY5_F7_30_DEPRUB806">#REF!</definedName>
    <definedName name="RANGEQUERY5_F7_30_DEPRUB807">#REF!</definedName>
    <definedName name="RANGEQUERY5_F7_30_DEPRUB901">#REF!</definedName>
    <definedName name="RANGEQUERY5_F7_30_DEPRUB902">#REF!</definedName>
    <definedName name="RANGEQUERY5_F7_30_DEPRUB903">#REF!</definedName>
    <definedName name="RANGEQUERY5_F7_30_DEPRUB904">#REF!</definedName>
    <definedName name="RANGEQUERY5_F7_30_DEPRUB905">#REF!</definedName>
    <definedName name="RANGEQUERY5_F7_30_DEPRUB906">#REF!</definedName>
    <definedName name="RANGEQUERY5_F7_30_DEPRUB907">#REF!</definedName>
    <definedName name="RANGEQUERY5_F7_30_DEPVAL1001">#REF!</definedName>
    <definedName name="RANGEQUERY5_F7_30_DEPVAL1002">#REF!</definedName>
    <definedName name="RANGEQUERY5_F7_30_DEPVAL1003">#REF!</definedName>
    <definedName name="RANGEQUERY5_F7_30_DEPVAL1004">#REF!</definedName>
    <definedName name="RANGEQUERY5_F7_30_DEPVAL1005">#REF!</definedName>
    <definedName name="RANGEQUERY5_F7_30_DEPVAL1006">#REF!</definedName>
    <definedName name="RANGEQUERY5_F7_30_DEPVAL1007">#REF!</definedName>
    <definedName name="RANGEQUERY5_F7_30_DEPVAL1101">#REF!</definedName>
    <definedName name="RANGEQUERY5_F7_30_DEPVAL1102">#REF!</definedName>
    <definedName name="RANGEQUERY5_F7_30_DEPVAL1103">#REF!</definedName>
    <definedName name="RANGEQUERY5_F7_30_DEPVAL1104">#REF!</definedName>
    <definedName name="RANGEQUERY5_F7_30_DEPVAL1105">#REF!</definedName>
    <definedName name="RANGEQUERY5_F7_30_DEPVAL1106">#REF!</definedName>
    <definedName name="RANGEQUERY5_F7_30_DEPVAL1107">#REF!</definedName>
    <definedName name="RANGEQUERY5_F7_30_DEPVAL1201">#REF!</definedName>
    <definedName name="RANGEQUERY5_F7_30_DEPVAL1202">#REF!</definedName>
    <definedName name="RANGEQUERY5_F7_30_DEPVAL1203">#REF!</definedName>
    <definedName name="RANGEQUERY5_F7_30_DEPVAL1204">#REF!</definedName>
    <definedName name="RANGEQUERY5_F7_30_DEPVAL1205">#REF!</definedName>
    <definedName name="RANGEQUERY5_F7_30_DEPVAL1206">#REF!</definedName>
    <definedName name="RANGEQUERY5_F7_30_DEPVAL1207">#REF!</definedName>
    <definedName name="RANGEQUERY5_F7_30_DEPVAL1301">#REF!</definedName>
    <definedName name="RANGEQUERY5_F7_30_DEPVAL1302">#REF!</definedName>
    <definedName name="RANGEQUERY5_F7_30_DEPVAL1303">#REF!</definedName>
    <definedName name="RANGEQUERY5_F7_30_DEPVAL1304">#REF!</definedName>
    <definedName name="RANGEQUERY5_F7_30_DEPVAL1305">#REF!</definedName>
    <definedName name="RANGEQUERY5_F7_30_DEPVAL1306">#REF!</definedName>
    <definedName name="RANGEQUERY5_F7_30_DEPVAL1307">#REF!</definedName>
    <definedName name="RANGEQUERY5_F7_30_DEPVAL1401">#REF!</definedName>
    <definedName name="RANGEQUERY5_F7_30_DEPVAL1402">#REF!</definedName>
    <definedName name="RANGEQUERY5_F7_30_DEPVAL1403">#REF!</definedName>
    <definedName name="RANGEQUERY5_F7_30_DEPVAL1404">#REF!</definedName>
    <definedName name="RANGEQUERY5_F7_30_DEPVAL1405">#REF!</definedName>
    <definedName name="RANGEQUERY5_F7_30_DEPVAL1406">#REF!</definedName>
    <definedName name="RANGEQUERY5_F7_30_DEPVAL1407">#REF!</definedName>
    <definedName name="RANGEQUERY5_F7_30_DEPVAL1501">#REF!</definedName>
    <definedName name="RANGEQUERY5_F7_30_DEPVAL1502">#REF!</definedName>
    <definedName name="RANGEQUERY5_F7_30_DEPVAL1503">#REF!</definedName>
    <definedName name="RANGEQUERY5_F7_30_DEPVAL1504">#REF!</definedName>
    <definedName name="RANGEQUERY5_F7_30_DEPVAL1505">#REF!</definedName>
    <definedName name="RANGEQUERY5_F7_30_DEPVAL1506">#REF!</definedName>
    <definedName name="RANGEQUERY5_F7_30_DEPVAL1507">#REF!</definedName>
    <definedName name="RANGEQUERY5_F7_30_DEPVAL1601">#REF!</definedName>
    <definedName name="RANGEQUERY5_F7_30_DEPVAL1602">#REF!</definedName>
    <definedName name="RANGEQUERY5_F7_30_DEPVAL1603">#REF!</definedName>
    <definedName name="RANGEQUERY5_F7_30_DEPVAL1604">#REF!</definedName>
    <definedName name="RANGEQUERY5_F7_30_DEPVAL1605">#REF!</definedName>
    <definedName name="RANGEQUERY5_F7_30_DEPVAL1606">#REF!</definedName>
    <definedName name="RANGEQUERY5_F7_30_DEPVAL1607">#REF!</definedName>
    <definedName name="RANGEQUERY5_F7_30_DEPVAL1701">#REF!</definedName>
    <definedName name="RANGEQUERY5_F7_30_DEPVAL1702">#REF!</definedName>
    <definedName name="RANGEQUERY5_F7_30_DEPVAL1703">#REF!</definedName>
    <definedName name="RANGEQUERY5_F7_30_DEPVAL1704">#REF!</definedName>
    <definedName name="RANGEQUERY5_F7_30_DEPVAL1705">#REF!</definedName>
    <definedName name="RANGEQUERY5_F7_30_DEPVAL1706">#REF!</definedName>
    <definedName name="RANGEQUERY5_F7_30_DEPVAL1707">#REF!</definedName>
    <definedName name="RANGEQUERY5_F7_30_DEPVAL201">#REF!</definedName>
    <definedName name="RANGEQUERY5_F7_30_DEPVAL202">#REF!</definedName>
    <definedName name="RANGEQUERY5_F7_30_DEPVAL203">#REF!</definedName>
    <definedName name="RANGEQUERY5_F7_30_DEPVAL204">#REF!</definedName>
    <definedName name="RANGEQUERY5_F7_30_DEPVAL205">#REF!</definedName>
    <definedName name="RANGEQUERY5_F7_30_DEPVAL206">#REF!</definedName>
    <definedName name="RANGEQUERY5_F7_30_DEPVAL207">#REF!</definedName>
    <definedName name="RANGEQUERY5_F7_30_DEPVAL301">#REF!</definedName>
    <definedName name="RANGEQUERY5_F7_30_DEPVAL302">#REF!</definedName>
    <definedName name="RANGEQUERY5_F7_30_DEPVAL303">#REF!</definedName>
    <definedName name="RANGEQUERY5_F7_30_DEPVAL304">#REF!</definedName>
    <definedName name="RANGEQUERY5_F7_30_DEPVAL305">#REF!</definedName>
    <definedName name="RANGEQUERY5_F7_30_DEPVAL306">#REF!</definedName>
    <definedName name="RANGEQUERY5_F7_30_DEPVAL307">#REF!</definedName>
    <definedName name="RANGEQUERY5_F7_30_DEPVAL401">#REF!</definedName>
    <definedName name="RANGEQUERY5_F7_30_DEPVAL402">#REF!</definedName>
    <definedName name="RANGEQUERY5_F7_30_DEPVAL403">#REF!</definedName>
    <definedName name="RANGEQUERY5_F7_30_DEPVAL404">#REF!</definedName>
    <definedName name="RANGEQUERY5_F7_30_DEPVAL405">#REF!</definedName>
    <definedName name="RANGEQUERY5_F7_30_DEPVAL406">#REF!</definedName>
    <definedName name="RANGEQUERY5_F7_30_DEPVAL407">#REF!</definedName>
    <definedName name="RANGEQUERY5_F7_30_DEPVAL501">#REF!</definedName>
    <definedName name="RANGEQUERY5_F7_30_DEPVAL502">#REF!</definedName>
    <definedName name="RANGEQUERY5_F7_30_DEPVAL503">#REF!</definedName>
    <definedName name="RANGEQUERY5_F7_30_DEPVAL504">#REF!</definedName>
    <definedName name="RANGEQUERY5_F7_30_DEPVAL505">#REF!</definedName>
    <definedName name="RANGEQUERY5_F7_30_DEPVAL506">#REF!</definedName>
    <definedName name="RANGEQUERY5_F7_30_DEPVAL507">#REF!</definedName>
    <definedName name="RANGEQUERY5_F7_30_DEPVAL601">#REF!</definedName>
    <definedName name="RANGEQUERY5_F7_30_DEPVAL602">#REF!</definedName>
    <definedName name="RANGEQUERY5_F7_30_DEPVAL603">#REF!</definedName>
    <definedName name="RANGEQUERY5_F7_30_DEPVAL604">#REF!</definedName>
    <definedName name="RANGEQUERY5_F7_30_DEPVAL605">#REF!</definedName>
    <definedName name="RANGEQUERY5_F7_30_DEPVAL606">#REF!</definedName>
    <definedName name="RANGEQUERY5_F7_30_DEPVAL607">#REF!</definedName>
    <definedName name="RANGEQUERY5_F7_30_DEPVAL701">#REF!</definedName>
    <definedName name="RANGEQUERY5_F7_30_DEPVAL702">#REF!</definedName>
    <definedName name="RANGEQUERY5_F7_30_DEPVAL703">#REF!</definedName>
    <definedName name="RANGEQUERY5_F7_30_DEPVAL704">#REF!</definedName>
    <definedName name="RANGEQUERY5_F7_30_DEPVAL705">#REF!</definedName>
    <definedName name="RANGEQUERY5_F7_30_DEPVAL706">#REF!</definedName>
    <definedName name="RANGEQUERY5_F7_30_DEPVAL707">#REF!</definedName>
    <definedName name="RANGEQUERY5_F7_30_DEPVAL801">#REF!</definedName>
    <definedName name="RANGEQUERY5_F7_30_DEPVAL802">#REF!</definedName>
    <definedName name="RANGEQUERY5_F7_30_DEPVAL803">#REF!</definedName>
    <definedName name="RANGEQUERY5_F7_30_DEPVAL804">#REF!</definedName>
    <definedName name="RANGEQUERY5_F7_30_DEPVAL805">#REF!</definedName>
    <definedName name="RANGEQUERY5_F7_30_DEPVAL806">#REF!</definedName>
    <definedName name="RANGEQUERY5_F7_30_DEPVAL807">#REF!</definedName>
    <definedName name="RANGEQUERY5_F7_30_DEPVAL901">#REF!</definedName>
    <definedName name="RANGEQUERY5_F7_30_DEPVAL902">#REF!</definedName>
    <definedName name="RANGEQUERY5_F7_30_DEPVAL903">#REF!</definedName>
    <definedName name="RANGEQUERY5_F7_30_DEPVAL904">#REF!</definedName>
    <definedName name="RANGEQUERY5_F7_30_DEPVAL905">#REF!</definedName>
    <definedName name="RANGEQUERY5_F7_30_DEPVAL906">#REF!</definedName>
    <definedName name="RANGEQUERY5_F7_30_DEPVAL907">#REF!</definedName>
    <definedName name="RANGEQUERY6_F7_30_DEPRUB1001">#REF!</definedName>
    <definedName name="RANGEQUERY6_F7_30_DEPRUB1002">#REF!</definedName>
    <definedName name="RANGEQUERY6_F7_30_DEPRUB1003">#REF!</definedName>
    <definedName name="RANGEQUERY6_F7_30_DEPRUB1004">#REF!</definedName>
    <definedName name="RANGEQUERY6_F7_30_DEPRUB1005">#REF!</definedName>
    <definedName name="RANGEQUERY6_F7_30_DEPRUB1006">#REF!</definedName>
    <definedName name="RANGEQUERY6_F7_30_DEPRUB1007">#REF!</definedName>
    <definedName name="RANGEQUERY6_F7_30_DEPRUB1101">#REF!</definedName>
    <definedName name="RANGEQUERY6_F7_30_DEPRUB1102">#REF!</definedName>
    <definedName name="RANGEQUERY6_F7_30_DEPRUB1103">#REF!</definedName>
    <definedName name="RANGEQUERY6_F7_30_DEPRUB1104">#REF!</definedName>
    <definedName name="RANGEQUERY6_F7_30_DEPRUB1105">#REF!</definedName>
    <definedName name="RANGEQUERY6_F7_30_DEPRUB1106">#REF!</definedName>
    <definedName name="RANGEQUERY6_F7_30_DEPRUB1107">#REF!</definedName>
    <definedName name="RANGEQUERY6_F7_30_DEPRUB1201">#REF!</definedName>
    <definedName name="RANGEQUERY6_F7_30_DEPRUB1202">#REF!</definedName>
    <definedName name="RANGEQUERY6_F7_30_DEPRUB1203">#REF!</definedName>
    <definedName name="RANGEQUERY6_F7_30_DEPRUB1204">#REF!</definedName>
    <definedName name="RANGEQUERY6_F7_30_DEPRUB1205">#REF!</definedName>
    <definedName name="RANGEQUERY6_F7_30_DEPRUB1206">#REF!</definedName>
    <definedName name="RANGEQUERY6_F7_30_DEPRUB1207">#REF!</definedName>
    <definedName name="RANGEQUERY6_F7_30_DEPRUB1301">#REF!</definedName>
    <definedName name="RANGEQUERY6_F7_30_DEPRUB1302">#REF!</definedName>
    <definedName name="RANGEQUERY6_F7_30_DEPRUB1303">#REF!</definedName>
    <definedName name="RANGEQUERY6_F7_30_DEPRUB1304">#REF!</definedName>
    <definedName name="RANGEQUERY6_F7_30_DEPRUB1305">#REF!</definedName>
    <definedName name="RANGEQUERY6_F7_30_DEPRUB1306">#REF!</definedName>
    <definedName name="RANGEQUERY6_F7_30_DEPRUB1307">#REF!</definedName>
    <definedName name="RANGEQUERY6_F7_30_DEPRUB1401">#REF!</definedName>
    <definedName name="RANGEQUERY6_F7_30_DEPRUB1402">#REF!</definedName>
    <definedName name="RANGEQUERY6_F7_30_DEPRUB1403">#REF!</definedName>
    <definedName name="RANGEQUERY6_F7_30_DEPRUB1404">#REF!</definedName>
    <definedName name="RANGEQUERY6_F7_30_DEPRUB1405">#REF!</definedName>
    <definedName name="RANGEQUERY6_F7_30_DEPRUB1406">#REF!</definedName>
    <definedName name="RANGEQUERY6_F7_30_DEPRUB1407">#REF!</definedName>
    <definedName name="RANGEQUERY6_F7_30_DEPRUB1501">#REF!</definedName>
    <definedName name="RANGEQUERY6_F7_30_DEPRUB1502">#REF!</definedName>
    <definedName name="RANGEQUERY6_F7_30_DEPRUB1503">#REF!</definedName>
    <definedName name="RANGEQUERY6_F7_30_DEPRUB1504">#REF!</definedName>
    <definedName name="RANGEQUERY6_F7_30_DEPRUB1505">#REF!</definedName>
    <definedName name="RANGEQUERY6_F7_30_DEPRUB1506">#REF!</definedName>
    <definedName name="RANGEQUERY6_F7_30_DEPRUB1507">#REF!</definedName>
    <definedName name="RANGEQUERY6_F7_30_DEPRUB1601">#REF!</definedName>
    <definedName name="RANGEQUERY6_F7_30_DEPRUB1602">#REF!</definedName>
    <definedName name="RANGEQUERY6_F7_30_DEPRUB1603">#REF!</definedName>
    <definedName name="RANGEQUERY6_F7_30_DEPRUB1604">#REF!</definedName>
    <definedName name="RANGEQUERY6_F7_30_DEPRUB1605">#REF!</definedName>
    <definedName name="RANGEQUERY6_F7_30_DEPRUB1606">#REF!</definedName>
    <definedName name="RANGEQUERY6_F7_30_DEPRUB1607">#REF!</definedName>
    <definedName name="RANGEQUERY6_F7_30_DEPRUB1701">#REF!</definedName>
    <definedName name="RANGEQUERY6_F7_30_DEPRUB1702">#REF!</definedName>
    <definedName name="RANGEQUERY6_F7_30_DEPRUB1703">#REF!</definedName>
    <definedName name="RANGEQUERY6_F7_30_DEPRUB1704">#REF!</definedName>
    <definedName name="RANGEQUERY6_F7_30_DEPRUB1705">#REF!</definedName>
    <definedName name="RANGEQUERY6_F7_30_DEPRUB1706">#REF!</definedName>
    <definedName name="RANGEQUERY6_F7_30_DEPRUB1707">#REF!</definedName>
    <definedName name="RANGEQUERY6_F7_30_DEPRUB201">#REF!</definedName>
    <definedName name="RANGEQUERY6_F7_30_DEPRUB202">#REF!</definedName>
    <definedName name="RANGEQUERY6_F7_30_DEPRUB203">#REF!</definedName>
    <definedName name="RANGEQUERY6_F7_30_DEPRUB204">#REF!</definedName>
    <definedName name="RANGEQUERY6_F7_30_DEPRUB205">#REF!</definedName>
    <definedName name="RANGEQUERY6_F7_30_DEPRUB206">#REF!</definedName>
    <definedName name="RANGEQUERY6_F7_30_DEPRUB207">#REF!</definedName>
    <definedName name="RANGEQUERY6_F7_30_DEPRUB301">#REF!</definedName>
    <definedName name="RANGEQUERY6_F7_30_DEPRUB302">#REF!</definedName>
    <definedName name="RANGEQUERY6_F7_30_DEPRUB303">#REF!</definedName>
    <definedName name="RANGEQUERY6_F7_30_DEPRUB304">#REF!</definedName>
    <definedName name="RANGEQUERY6_F7_30_DEPRUB305">#REF!</definedName>
    <definedName name="RANGEQUERY6_F7_30_DEPRUB306">#REF!</definedName>
    <definedName name="RANGEQUERY6_F7_30_DEPRUB307">#REF!</definedName>
    <definedName name="RANGEQUERY6_F7_30_DEPRUB401">#REF!</definedName>
    <definedName name="RANGEQUERY6_F7_30_DEPRUB402">#REF!</definedName>
    <definedName name="RANGEQUERY6_F7_30_DEPRUB403">#REF!</definedName>
    <definedName name="RANGEQUERY6_F7_30_DEPRUB404">#REF!</definedName>
    <definedName name="RANGEQUERY6_F7_30_DEPRUB405">#REF!</definedName>
    <definedName name="RANGEQUERY6_F7_30_DEPRUB406">#REF!</definedName>
    <definedName name="RANGEQUERY6_F7_30_DEPRUB407">#REF!</definedName>
    <definedName name="RANGEQUERY6_F7_30_DEPRUB501">#REF!</definedName>
    <definedName name="RANGEQUERY6_F7_30_DEPRUB502">#REF!</definedName>
    <definedName name="RANGEQUERY6_F7_30_DEPRUB503">#REF!</definedName>
    <definedName name="RANGEQUERY6_F7_30_DEPRUB504">#REF!</definedName>
    <definedName name="RANGEQUERY6_F7_30_DEPRUB505">#REF!</definedName>
    <definedName name="RANGEQUERY6_F7_30_DEPRUB506">#REF!</definedName>
    <definedName name="RANGEQUERY6_F7_30_DEPRUB507">#REF!</definedName>
    <definedName name="RANGEQUERY6_F7_30_DEPRUB601">#REF!</definedName>
    <definedName name="RANGEQUERY6_F7_30_DEPRUB602">#REF!</definedName>
    <definedName name="RANGEQUERY6_F7_30_DEPRUB603">#REF!</definedName>
    <definedName name="RANGEQUERY6_F7_30_DEPRUB604">#REF!</definedName>
    <definedName name="RANGEQUERY6_F7_30_DEPRUB605">#REF!</definedName>
    <definedName name="RANGEQUERY6_F7_30_DEPRUB606">#REF!</definedName>
    <definedName name="RANGEQUERY6_F7_30_DEPRUB607">#REF!</definedName>
    <definedName name="RANGEQUERY6_F7_30_DEPRUB701">#REF!</definedName>
    <definedName name="RANGEQUERY6_F7_30_DEPRUB702">#REF!</definedName>
    <definedName name="RANGEQUERY6_F7_30_DEPRUB703">#REF!</definedName>
    <definedName name="RANGEQUERY6_F7_30_DEPRUB704">#REF!</definedName>
    <definedName name="RANGEQUERY6_F7_30_DEPRUB705">#REF!</definedName>
    <definedName name="RANGEQUERY6_F7_30_DEPRUB706">#REF!</definedName>
    <definedName name="RANGEQUERY6_F7_30_DEPRUB707">#REF!</definedName>
    <definedName name="RANGEQUERY6_F7_30_DEPRUB801">#REF!</definedName>
    <definedName name="RANGEQUERY6_F7_30_DEPRUB802">#REF!</definedName>
    <definedName name="RANGEQUERY6_F7_30_DEPRUB803">#REF!</definedName>
    <definedName name="RANGEQUERY6_F7_30_DEPRUB804">#REF!</definedName>
    <definedName name="RANGEQUERY6_F7_30_DEPRUB805">#REF!</definedName>
    <definedName name="RANGEQUERY6_F7_30_DEPRUB806">#REF!</definedName>
    <definedName name="RANGEQUERY6_F7_30_DEPRUB807">#REF!</definedName>
    <definedName name="RANGEQUERY6_F7_30_DEPRUB901">#REF!</definedName>
    <definedName name="RANGEQUERY6_F7_30_DEPRUB902">#REF!</definedName>
    <definedName name="RANGEQUERY6_F7_30_DEPRUB903">#REF!</definedName>
    <definedName name="RANGEQUERY6_F7_30_DEPRUB904">#REF!</definedName>
    <definedName name="RANGEQUERY6_F7_30_DEPRUB905">#REF!</definedName>
    <definedName name="RANGEQUERY6_F7_30_DEPRUB906">#REF!</definedName>
    <definedName name="RANGEQUERY6_F7_30_DEPRUB907">#REF!</definedName>
    <definedName name="RANGEQUERY6_F7_30_DEPVAL1001">#REF!</definedName>
    <definedName name="RANGEQUERY6_F7_30_DEPVAL1002">#REF!</definedName>
    <definedName name="RANGEQUERY6_F7_30_DEPVAL1003">#REF!</definedName>
    <definedName name="RANGEQUERY6_F7_30_DEPVAL1004">#REF!</definedName>
    <definedName name="RANGEQUERY6_F7_30_DEPVAL1005">#REF!</definedName>
    <definedName name="RANGEQUERY6_F7_30_DEPVAL1006">#REF!</definedName>
    <definedName name="RANGEQUERY6_F7_30_DEPVAL1007">#REF!</definedName>
    <definedName name="RANGEQUERY6_F7_30_DEPVAL1101">#REF!</definedName>
    <definedName name="RANGEQUERY6_F7_30_DEPVAL1102">#REF!</definedName>
    <definedName name="RANGEQUERY6_F7_30_DEPVAL1103">#REF!</definedName>
    <definedName name="RANGEQUERY6_F7_30_DEPVAL1104">#REF!</definedName>
    <definedName name="RANGEQUERY6_F7_30_DEPVAL1105">#REF!</definedName>
    <definedName name="RANGEQUERY6_F7_30_DEPVAL1106">#REF!</definedName>
    <definedName name="RANGEQUERY6_F7_30_DEPVAL1107">#REF!</definedName>
    <definedName name="RANGEQUERY6_F7_30_DEPVAL1201">#REF!</definedName>
    <definedName name="RANGEQUERY6_F7_30_DEPVAL1202">#REF!</definedName>
    <definedName name="RANGEQUERY6_F7_30_DEPVAL1203">#REF!</definedName>
    <definedName name="RANGEQUERY6_F7_30_DEPVAL1204">#REF!</definedName>
    <definedName name="RANGEQUERY6_F7_30_DEPVAL1205">#REF!</definedName>
    <definedName name="RANGEQUERY6_F7_30_DEPVAL1206">#REF!</definedName>
    <definedName name="RANGEQUERY6_F7_30_DEPVAL1207">#REF!</definedName>
    <definedName name="RANGEQUERY6_F7_30_DEPVAL1301">#REF!</definedName>
    <definedName name="RANGEQUERY6_F7_30_DEPVAL1302">#REF!</definedName>
    <definedName name="RANGEQUERY6_F7_30_DEPVAL1303">#REF!</definedName>
    <definedName name="RANGEQUERY6_F7_30_DEPVAL1304">#REF!</definedName>
    <definedName name="RANGEQUERY6_F7_30_DEPVAL1305">#REF!</definedName>
    <definedName name="RANGEQUERY6_F7_30_DEPVAL1306">#REF!</definedName>
    <definedName name="RANGEQUERY6_F7_30_DEPVAL1307">#REF!</definedName>
    <definedName name="RANGEQUERY6_F7_30_DEPVAL1401">#REF!</definedName>
    <definedName name="RANGEQUERY6_F7_30_DEPVAL1402">#REF!</definedName>
    <definedName name="RANGEQUERY6_F7_30_DEPVAL1403">#REF!</definedName>
    <definedName name="RANGEQUERY6_F7_30_DEPVAL1404">#REF!</definedName>
    <definedName name="RANGEQUERY6_F7_30_DEPVAL1405">#REF!</definedName>
    <definedName name="RANGEQUERY6_F7_30_DEPVAL1406">#REF!</definedName>
    <definedName name="RANGEQUERY6_F7_30_DEPVAL1407">#REF!</definedName>
    <definedName name="RANGEQUERY6_F7_30_DEPVAL1501">#REF!</definedName>
    <definedName name="RANGEQUERY6_F7_30_DEPVAL1502">#REF!</definedName>
    <definedName name="RANGEQUERY6_F7_30_DEPVAL1503">#REF!</definedName>
    <definedName name="RANGEQUERY6_F7_30_DEPVAL1504">#REF!</definedName>
    <definedName name="RANGEQUERY6_F7_30_DEPVAL1505">#REF!</definedName>
    <definedName name="RANGEQUERY6_F7_30_DEPVAL1506">#REF!</definedName>
    <definedName name="RANGEQUERY6_F7_30_DEPVAL1507">#REF!</definedName>
    <definedName name="RANGEQUERY6_F7_30_DEPVAL1601">#REF!</definedName>
    <definedName name="RANGEQUERY6_F7_30_DEPVAL1602">#REF!</definedName>
    <definedName name="RANGEQUERY6_F7_30_DEPVAL1603">#REF!</definedName>
    <definedName name="RANGEQUERY6_F7_30_DEPVAL1604">#REF!</definedName>
    <definedName name="RANGEQUERY6_F7_30_DEPVAL1605">#REF!</definedName>
    <definedName name="RANGEQUERY6_F7_30_DEPVAL1606">#REF!</definedName>
    <definedName name="RANGEQUERY6_F7_30_DEPVAL1607">#REF!</definedName>
    <definedName name="RANGEQUERY6_F7_30_DEPVAL1701">#REF!</definedName>
    <definedName name="RANGEQUERY6_F7_30_DEPVAL1702">#REF!</definedName>
    <definedName name="RANGEQUERY6_F7_30_DEPVAL1703">#REF!</definedName>
    <definedName name="RANGEQUERY6_F7_30_DEPVAL1704">#REF!</definedName>
    <definedName name="RANGEQUERY6_F7_30_DEPVAL1705">#REF!</definedName>
    <definedName name="RANGEQUERY6_F7_30_DEPVAL1706">#REF!</definedName>
    <definedName name="RANGEQUERY6_F7_30_DEPVAL1707">#REF!</definedName>
    <definedName name="RANGEQUERY6_F7_30_DEPVAL201">#REF!</definedName>
    <definedName name="RANGEQUERY6_F7_30_DEPVAL202">#REF!</definedName>
    <definedName name="RANGEQUERY6_F7_30_DEPVAL203">#REF!</definedName>
    <definedName name="RANGEQUERY6_F7_30_DEPVAL204">#REF!</definedName>
    <definedName name="RANGEQUERY6_F7_30_DEPVAL205">#REF!</definedName>
    <definedName name="RANGEQUERY6_F7_30_DEPVAL206">#REF!</definedName>
    <definedName name="RANGEQUERY6_F7_30_DEPVAL207">#REF!</definedName>
    <definedName name="RANGEQUERY6_F7_30_DEPVAL301">#REF!</definedName>
    <definedName name="RANGEQUERY6_F7_30_DEPVAL302">#REF!</definedName>
    <definedName name="RANGEQUERY6_F7_30_DEPVAL303">#REF!</definedName>
    <definedName name="RANGEQUERY6_F7_30_DEPVAL304">#REF!</definedName>
    <definedName name="RANGEQUERY6_F7_30_DEPVAL305">#REF!</definedName>
    <definedName name="RANGEQUERY6_F7_30_DEPVAL306">#REF!</definedName>
    <definedName name="RANGEQUERY6_F7_30_DEPVAL307">#REF!</definedName>
    <definedName name="RANGEQUERY6_F7_30_DEPVAL401">#REF!</definedName>
    <definedName name="RANGEQUERY6_F7_30_DEPVAL402">#REF!</definedName>
    <definedName name="RANGEQUERY6_F7_30_DEPVAL403">#REF!</definedName>
    <definedName name="RANGEQUERY6_F7_30_DEPVAL404">#REF!</definedName>
    <definedName name="RANGEQUERY6_F7_30_DEPVAL405">#REF!</definedName>
    <definedName name="RANGEQUERY6_F7_30_DEPVAL406">#REF!</definedName>
    <definedName name="RANGEQUERY6_F7_30_DEPVAL407">#REF!</definedName>
    <definedName name="RANGEQUERY6_F7_30_DEPVAL501">#REF!</definedName>
    <definedName name="RANGEQUERY6_F7_30_DEPVAL502">#REF!</definedName>
    <definedName name="RANGEQUERY6_F7_30_DEPVAL503">#REF!</definedName>
    <definedName name="RANGEQUERY6_F7_30_DEPVAL504">#REF!</definedName>
    <definedName name="RANGEQUERY6_F7_30_DEPVAL505">#REF!</definedName>
    <definedName name="RANGEQUERY6_F7_30_DEPVAL506">#REF!</definedName>
    <definedName name="RANGEQUERY6_F7_30_DEPVAL507">#REF!</definedName>
    <definedName name="RANGEQUERY6_F7_30_DEPVAL601">#REF!</definedName>
    <definedName name="RANGEQUERY6_F7_30_DEPVAL602">#REF!</definedName>
    <definedName name="RANGEQUERY6_F7_30_DEPVAL603">#REF!</definedName>
    <definedName name="RANGEQUERY6_F7_30_DEPVAL604">#REF!</definedName>
    <definedName name="RANGEQUERY6_F7_30_DEPVAL605">#REF!</definedName>
    <definedName name="RANGEQUERY6_F7_30_DEPVAL606">#REF!</definedName>
    <definedName name="RANGEQUERY6_F7_30_DEPVAL607">#REF!</definedName>
    <definedName name="RANGEQUERY6_F7_30_DEPVAL701">#REF!</definedName>
    <definedName name="RANGEQUERY6_F7_30_DEPVAL702">#REF!</definedName>
    <definedName name="RANGEQUERY6_F7_30_DEPVAL703">#REF!</definedName>
    <definedName name="RANGEQUERY6_F7_30_DEPVAL704">#REF!</definedName>
    <definedName name="RANGEQUERY6_F7_30_DEPVAL705">#REF!</definedName>
    <definedName name="RANGEQUERY6_F7_30_DEPVAL706">#REF!</definedName>
    <definedName name="RANGEQUERY6_F7_30_DEPVAL707">#REF!</definedName>
    <definedName name="RANGEQUERY6_F7_30_DEPVAL801">#REF!</definedName>
    <definedName name="RANGEQUERY6_F7_30_DEPVAL802">#REF!</definedName>
    <definedName name="RANGEQUERY6_F7_30_DEPVAL803">#REF!</definedName>
    <definedName name="RANGEQUERY6_F7_30_DEPVAL804">#REF!</definedName>
    <definedName name="RANGEQUERY6_F7_30_DEPVAL805">#REF!</definedName>
    <definedName name="RANGEQUERY6_F7_30_DEPVAL806">#REF!</definedName>
    <definedName name="RANGEQUERY6_F7_30_DEPVAL807">#REF!</definedName>
    <definedName name="RANGEQUERY6_F7_30_DEPVAL901">#REF!</definedName>
    <definedName name="RANGEQUERY6_F7_30_DEPVAL902">#REF!</definedName>
    <definedName name="RANGEQUERY6_F7_30_DEPVAL903">#REF!</definedName>
    <definedName name="RANGEQUERY6_F7_30_DEPVAL904">#REF!</definedName>
    <definedName name="RANGEQUERY6_F7_30_DEPVAL905">#REF!</definedName>
    <definedName name="RANGEQUERY6_F7_30_DEPVAL906">#REF!</definedName>
    <definedName name="RANGEQUERY6_F7_30_DEPVAL907">#REF!</definedName>
    <definedName name="RANGEQUERY7_F7_30_DEPRUB1001">#REF!</definedName>
    <definedName name="RANGEQUERY7_F7_30_DEPRUB1002">#REF!</definedName>
    <definedName name="RANGEQUERY7_F7_30_DEPRUB1003">#REF!</definedName>
    <definedName name="RANGEQUERY7_F7_30_DEPRUB1004">#REF!</definedName>
    <definedName name="RANGEQUERY7_F7_30_DEPRUB1005">#REF!</definedName>
    <definedName name="RANGEQUERY7_F7_30_DEPRUB1006">#REF!</definedName>
    <definedName name="RANGEQUERY7_F7_30_DEPRUB1007">#REF!</definedName>
    <definedName name="RANGEQUERY7_F7_30_DEPRUB1101">#REF!</definedName>
    <definedName name="RANGEQUERY7_F7_30_DEPRUB1102">#REF!</definedName>
    <definedName name="RANGEQUERY7_F7_30_DEPRUB1103">#REF!</definedName>
    <definedName name="RANGEQUERY7_F7_30_DEPRUB1104">#REF!</definedName>
    <definedName name="RANGEQUERY7_F7_30_DEPRUB1105">#REF!</definedName>
    <definedName name="RANGEQUERY7_F7_30_DEPRUB1106">#REF!</definedName>
    <definedName name="RANGEQUERY7_F7_30_DEPRUB1107">#REF!</definedName>
    <definedName name="RANGEQUERY7_F7_30_DEPRUB1201">#REF!</definedName>
    <definedName name="RANGEQUERY7_F7_30_DEPRUB1202">#REF!</definedName>
    <definedName name="RANGEQUERY7_F7_30_DEPRUB1203">#REF!</definedName>
    <definedName name="RANGEQUERY7_F7_30_DEPRUB1204">#REF!</definedName>
    <definedName name="RANGEQUERY7_F7_30_DEPRUB1205">#REF!</definedName>
    <definedName name="RANGEQUERY7_F7_30_DEPRUB1206">#REF!</definedName>
    <definedName name="RANGEQUERY7_F7_30_DEPRUB1207">#REF!</definedName>
    <definedName name="RANGEQUERY7_F7_30_DEPRUB1301">#REF!</definedName>
    <definedName name="RANGEQUERY7_F7_30_DEPRUB1302">#REF!</definedName>
    <definedName name="RANGEQUERY7_F7_30_DEPRUB1303">#REF!</definedName>
    <definedName name="RANGEQUERY7_F7_30_DEPRUB1304">#REF!</definedName>
    <definedName name="RANGEQUERY7_F7_30_DEPRUB1305">#REF!</definedName>
    <definedName name="RANGEQUERY7_F7_30_DEPRUB1306">#REF!</definedName>
    <definedName name="RANGEQUERY7_F7_30_DEPRUB1307">#REF!</definedName>
    <definedName name="RANGEQUERY7_F7_30_DEPRUB1401">#REF!</definedName>
    <definedName name="RANGEQUERY7_F7_30_DEPRUB1402">#REF!</definedName>
    <definedName name="RANGEQUERY7_F7_30_DEPRUB1403">#REF!</definedName>
    <definedName name="RANGEQUERY7_F7_30_DEPRUB1404">#REF!</definedName>
    <definedName name="RANGEQUERY7_F7_30_DEPRUB1405">#REF!</definedName>
    <definedName name="RANGEQUERY7_F7_30_DEPRUB1406">#REF!</definedName>
    <definedName name="RANGEQUERY7_F7_30_DEPRUB1407">#REF!</definedName>
    <definedName name="RANGEQUERY7_F7_30_DEPRUB1501">#REF!</definedName>
    <definedName name="RANGEQUERY7_F7_30_DEPRUB1502">#REF!</definedName>
    <definedName name="RANGEQUERY7_F7_30_DEPRUB1503">#REF!</definedName>
    <definedName name="RANGEQUERY7_F7_30_DEPRUB1504">#REF!</definedName>
    <definedName name="RANGEQUERY7_F7_30_DEPRUB1505">#REF!</definedName>
    <definedName name="RANGEQUERY7_F7_30_DEPRUB1506">#REF!</definedName>
    <definedName name="RANGEQUERY7_F7_30_DEPRUB1507">#REF!</definedName>
    <definedName name="RANGEQUERY7_F7_30_DEPRUB1601">#REF!</definedName>
    <definedName name="RANGEQUERY7_F7_30_DEPRUB1602">#REF!</definedName>
    <definedName name="RANGEQUERY7_F7_30_DEPRUB1603">#REF!</definedName>
    <definedName name="RANGEQUERY7_F7_30_DEPRUB1604">#REF!</definedName>
    <definedName name="RANGEQUERY7_F7_30_DEPRUB1605">#REF!</definedName>
    <definedName name="RANGEQUERY7_F7_30_DEPRUB1606">#REF!</definedName>
    <definedName name="RANGEQUERY7_F7_30_DEPRUB1607">#REF!</definedName>
    <definedName name="RANGEQUERY7_F7_30_DEPRUB1701">#REF!</definedName>
    <definedName name="RANGEQUERY7_F7_30_DEPRUB1702">#REF!</definedName>
    <definedName name="RANGEQUERY7_F7_30_DEPRUB1703">#REF!</definedName>
    <definedName name="RANGEQUERY7_F7_30_DEPRUB1704">#REF!</definedName>
    <definedName name="RANGEQUERY7_F7_30_DEPRUB1705">#REF!</definedName>
    <definedName name="RANGEQUERY7_F7_30_DEPRUB1706">#REF!</definedName>
    <definedName name="RANGEQUERY7_F7_30_DEPRUB1707">#REF!</definedName>
    <definedName name="RANGEQUERY7_F7_30_DEPRUB201">#REF!</definedName>
    <definedName name="RANGEQUERY7_F7_30_DEPRUB202">#REF!</definedName>
    <definedName name="RANGEQUERY7_F7_30_DEPRUB203">#REF!</definedName>
    <definedName name="RANGEQUERY7_F7_30_DEPRUB204">#REF!</definedName>
    <definedName name="RANGEQUERY7_F7_30_DEPRUB205">#REF!</definedName>
    <definedName name="RANGEQUERY7_F7_30_DEPRUB206">#REF!</definedName>
    <definedName name="RANGEQUERY7_F7_30_DEPRUB207">#REF!</definedName>
    <definedName name="RANGEQUERY7_F7_30_DEPRUB301">#REF!</definedName>
    <definedName name="RANGEQUERY7_F7_30_DEPRUB302">#REF!</definedName>
    <definedName name="RANGEQUERY7_F7_30_DEPRUB303">#REF!</definedName>
    <definedName name="RANGEQUERY7_F7_30_DEPRUB304">#REF!</definedName>
    <definedName name="RANGEQUERY7_F7_30_DEPRUB305">#REF!</definedName>
    <definedName name="RANGEQUERY7_F7_30_DEPRUB306">#REF!</definedName>
    <definedName name="RANGEQUERY7_F7_30_DEPRUB307">#REF!</definedName>
    <definedName name="RANGEQUERY7_F7_30_DEPRUB401">#REF!</definedName>
    <definedName name="RANGEQUERY7_F7_30_DEPRUB402">#REF!</definedName>
    <definedName name="RANGEQUERY7_F7_30_DEPRUB403">#REF!</definedName>
    <definedName name="RANGEQUERY7_F7_30_DEPRUB404">#REF!</definedName>
    <definedName name="RANGEQUERY7_F7_30_DEPRUB405">#REF!</definedName>
    <definedName name="RANGEQUERY7_F7_30_DEPRUB406">#REF!</definedName>
    <definedName name="RANGEQUERY7_F7_30_DEPRUB407">#REF!</definedName>
    <definedName name="RANGEQUERY7_F7_30_DEPRUB501">#REF!</definedName>
    <definedName name="RANGEQUERY7_F7_30_DEPRUB502">#REF!</definedName>
    <definedName name="RANGEQUERY7_F7_30_DEPRUB503">#REF!</definedName>
    <definedName name="RANGEQUERY7_F7_30_DEPRUB504">#REF!</definedName>
    <definedName name="RANGEQUERY7_F7_30_DEPRUB505">#REF!</definedName>
    <definedName name="RANGEQUERY7_F7_30_DEPRUB506">#REF!</definedName>
    <definedName name="RANGEQUERY7_F7_30_DEPRUB507">#REF!</definedName>
    <definedName name="RANGEQUERY7_F7_30_DEPRUB601">#REF!</definedName>
    <definedName name="RANGEQUERY7_F7_30_DEPRUB602">#REF!</definedName>
    <definedName name="RANGEQUERY7_F7_30_DEPRUB603">#REF!</definedName>
    <definedName name="RANGEQUERY7_F7_30_DEPRUB604">#REF!</definedName>
    <definedName name="RANGEQUERY7_F7_30_DEPRUB605">#REF!</definedName>
    <definedName name="RANGEQUERY7_F7_30_DEPRUB606">#REF!</definedName>
    <definedName name="RANGEQUERY7_F7_30_DEPRUB607">#REF!</definedName>
    <definedName name="RANGEQUERY7_F7_30_DEPRUB701">#REF!</definedName>
    <definedName name="RANGEQUERY7_F7_30_DEPRUB702">#REF!</definedName>
    <definedName name="RANGEQUERY7_F7_30_DEPRUB703">#REF!</definedName>
    <definedName name="RANGEQUERY7_F7_30_DEPRUB704">#REF!</definedName>
    <definedName name="RANGEQUERY7_F7_30_DEPRUB705">#REF!</definedName>
    <definedName name="RANGEQUERY7_F7_30_DEPRUB706">#REF!</definedName>
    <definedName name="RANGEQUERY7_F7_30_DEPRUB707">#REF!</definedName>
    <definedName name="RANGEQUERY7_F7_30_DEPRUB801">#REF!</definedName>
    <definedName name="RANGEQUERY7_F7_30_DEPRUB802">#REF!</definedName>
    <definedName name="RANGEQUERY7_F7_30_DEPRUB803">#REF!</definedName>
    <definedName name="RANGEQUERY7_F7_30_DEPRUB804">#REF!</definedName>
    <definedName name="RANGEQUERY7_F7_30_DEPRUB805">#REF!</definedName>
    <definedName name="RANGEQUERY7_F7_30_DEPRUB806">#REF!</definedName>
    <definedName name="RANGEQUERY7_F7_30_DEPRUB807">#REF!</definedName>
    <definedName name="RANGEQUERY7_F7_30_DEPRUB901">#REF!</definedName>
    <definedName name="RANGEQUERY7_F7_30_DEPRUB902">#REF!</definedName>
    <definedName name="RANGEQUERY7_F7_30_DEPRUB903">#REF!</definedName>
    <definedName name="RANGEQUERY7_F7_30_DEPRUB904">#REF!</definedName>
    <definedName name="RANGEQUERY7_F7_30_DEPRUB905">#REF!</definedName>
    <definedName name="RANGEQUERY7_F7_30_DEPRUB906">#REF!</definedName>
    <definedName name="RANGEQUERY7_F7_30_DEPRUB907">#REF!</definedName>
    <definedName name="RANGEQUERY7_F7_30_DEPVAL1001">#REF!</definedName>
    <definedName name="RANGEQUERY7_F7_30_DEPVAL1002">#REF!</definedName>
    <definedName name="RANGEQUERY7_F7_30_DEPVAL1003">#REF!</definedName>
    <definedName name="RANGEQUERY7_F7_30_DEPVAL1004">#REF!</definedName>
    <definedName name="RANGEQUERY7_F7_30_DEPVAL1005">#REF!</definedName>
    <definedName name="RANGEQUERY7_F7_30_DEPVAL1006">#REF!</definedName>
    <definedName name="RANGEQUERY7_F7_30_DEPVAL1007">#REF!</definedName>
    <definedName name="RANGEQUERY7_F7_30_DEPVAL1101">#REF!</definedName>
    <definedName name="RANGEQUERY7_F7_30_DEPVAL1102">#REF!</definedName>
    <definedName name="RANGEQUERY7_F7_30_DEPVAL1103">#REF!</definedName>
    <definedName name="RANGEQUERY7_F7_30_DEPVAL1104">#REF!</definedName>
    <definedName name="RANGEQUERY7_F7_30_DEPVAL1105">#REF!</definedName>
    <definedName name="RANGEQUERY7_F7_30_DEPVAL1106">#REF!</definedName>
    <definedName name="RANGEQUERY7_F7_30_DEPVAL1107">#REF!</definedName>
    <definedName name="RANGEQUERY7_F7_30_DEPVAL1201">#REF!</definedName>
    <definedName name="RANGEQUERY7_F7_30_DEPVAL1202">#REF!</definedName>
    <definedName name="RANGEQUERY7_F7_30_DEPVAL1203">#REF!</definedName>
    <definedName name="RANGEQUERY7_F7_30_DEPVAL1204">#REF!</definedName>
    <definedName name="RANGEQUERY7_F7_30_DEPVAL1205">#REF!</definedName>
    <definedName name="RANGEQUERY7_F7_30_DEPVAL1206">#REF!</definedName>
    <definedName name="RANGEQUERY7_F7_30_DEPVAL1207">#REF!</definedName>
    <definedName name="RANGEQUERY7_F7_30_DEPVAL1301">#REF!</definedName>
    <definedName name="RANGEQUERY7_F7_30_DEPVAL1302">#REF!</definedName>
    <definedName name="RANGEQUERY7_F7_30_DEPVAL1303">#REF!</definedName>
    <definedName name="RANGEQUERY7_F7_30_DEPVAL1304">#REF!</definedName>
    <definedName name="RANGEQUERY7_F7_30_DEPVAL1305">#REF!</definedName>
    <definedName name="RANGEQUERY7_F7_30_DEPVAL1306">#REF!</definedName>
    <definedName name="RANGEQUERY7_F7_30_DEPVAL1307">#REF!</definedName>
    <definedName name="RANGEQUERY7_F7_30_DEPVAL1401">#REF!</definedName>
    <definedName name="RANGEQUERY7_F7_30_DEPVAL1402">#REF!</definedName>
    <definedName name="RANGEQUERY7_F7_30_DEPVAL1403">#REF!</definedName>
    <definedName name="RANGEQUERY7_F7_30_DEPVAL1404">#REF!</definedName>
    <definedName name="RANGEQUERY7_F7_30_DEPVAL1405">#REF!</definedName>
    <definedName name="RANGEQUERY7_F7_30_DEPVAL1406">#REF!</definedName>
    <definedName name="RANGEQUERY7_F7_30_DEPVAL1407">#REF!</definedName>
    <definedName name="RANGEQUERY7_F7_30_DEPVAL1501">#REF!</definedName>
    <definedName name="RANGEQUERY7_F7_30_DEPVAL1502">#REF!</definedName>
    <definedName name="RANGEQUERY7_F7_30_DEPVAL1503">#REF!</definedName>
    <definedName name="RANGEQUERY7_F7_30_DEPVAL1504">#REF!</definedName>
    <definedName name="RANGEQUERY7_F7_30_DEPVAL1505">#REF!</definedName>
    <definedName name="RANGEQUERY7_F7_30_DEPVAL1506">#REF!</definedName>
    <definedName name="RANGEQUERY7_F7_30_DEPVAL1507">#REF!</definedName>
    <definedName name="RANGEQUERY7_F7_30_DEPVAL1601">#REF!</definedName>
    <definedName name="RANGEQUERY7_F7_30_DEPVAL1602">#REF!</definedName>
    <definedName name="RANGEQUERY7_F7_30_DEPVAL1603">#REF!</definedName>
    <definedName name="RANGEQUERY7_F7_30_DEPVAL1604">#REF!</definedName>
    <definedName name="RANGEQUERY7_F7_30_DEPVAL1605">#REF!</definedName>
    <definedName name="RANGEQUERY7_F7_30_DEPVAL1606">#REF!</definedName>
    <definedName name="RANGEQUERY7_F7_30_DEPVAL1607">#REF!</definedName>
    <definedName name="RANGEQUERY7_F7_30_DEPVAL1701">#REF!</definedName>
    <definedName name="RANGEQUERY7_F7_30_DEPVAL1702">#REF!</definedName>
    <definedName name="RANGEQUERY7_F7_30_DEPVAL1703">#REF!</definedName>
    <definedName name="RANGEQUERY7_F7_30_DEPVAL1704">#REF!</definedName>
    <definedName name="RANGEQUERY7_F7_30_DEPVAL1705">#REF!</definedName>
    <definedName name="RANGEQUERY7_F7_30_DEPVAL1706">#REF!</definedName>
    <definedName name="RANGEQUERY7_F7_30_DEPVAL1707">#REF!</definedName>
    <definedName name="RANGEQUERY7_F7_30_DEPVAL201">#REF!</definedName>
    <definedName name="RANGEQUERY7_F7_30_DEPVAL202">#REF!</definedName>
    <definedName name="RANGEQUERY7_F7_30_DEPVAL203">#REF!</definedName>
    <definedName name="RANGEQUERY7_F7_30_DEPVAL204">#REF!</definedName>
    <definedName name="RANGEQUERY7_F7_30_DEPVAL205">#REF!</definedName>
    <definedName name="RANGEQUERY7_F7_30_DEPVAL206">#REF!</definedName>
    <definedName name="RANGEQUERY7_F7_30_DEPVAL207">#REF!</definedName>
    <definedName name="RANGEQUERY7_F7_30_DEPVAL301">#REF!</definedName>
    <definedName name="RANGEQUERY7_F7_30_DEPVAL302">#REF!</definedName>
    <definedName name="RANGEQUERY7_F7_30_DEPVAL303">#REF!</definedName>
    <definedName name="RANGEQUERY7_F7_30_DEPVAL304">#REF!</definedName>
    <definedName name="RANGEQUERY7_F7_30_DEPVAL305">#REF!</definedName>
    <definedName name="RANGEQUERY7_F7_30_DEPVAL306">#REF!</definedName>
    <definedName name="RANGEQUERY7_F7_30_DEPVAL307">#REF!</definedName>
    <definedName name="RANGEQUERY7_F7_30_DEPVAL401">#REF!</definedName>
    <definedName name="RANGEQUERY7_F7_30_DEPVAL402">#REF!</definedName>
    <definedName name="RANGEQUERY7_F7_30_DEPVAL403">#REF!</definedName>
    <definedName name="RANGEQUERY7_F7_30_DEPVAL404">#REF!</definedName>
    <definedName name="RANGEQUERY7_F7_30_DEPVAL405">#REF!</definedName>
    <definedName name="RANGEQUERY7_F7_30_DEPVAL406">#REF!</definedName>
    <definedName name="RANGEQUERY7_F7_30_DEPVAL407">#REF!</definedName>
    <definedName name="RANGEQUERY7_F7_30_DEPVAL501">#REF!</definedName>
    <definedName name="RANGEQUERY7_F7_30_DEPVAL502">#REF!</definedName>
    <definedName name="RANGEQUERY7_F7_30_DEPVAL503">#REF!</definedName>
    <definedName name="RANGEQUERY7_F7_30_DEPVAL504">#REF!</definedName>
    <definedName name="RANGEQUERY7_F7_30_DEPVAL505">#REF!</definedName>
    <definedName name="RANGEQUERY7_F7_30_DEPVAL506">#REF!</definedName>
    <definedName name="RANGEQUERY7_F7_30_DEPVAL507">#REF!</definedName>
    <definedName name="RANGEQUERY7_F7_30_DEPVAL601">#REF!</definedName>
    <definedName name="RANGEQUERY7_F7_30_DEPVAL602">#REF!</definedName>
    <definedName name="RANGEQUERY7_F7_30_DEPVAL603">#REF!</definedName>
    <definedName name="RANGEQUERY7_F7_30_DEPVAL604">#REF!</definedName>
    <definedName name="RANGEQUERY7_F7_30_DEPVAL605">#REF!</definedName>
    <definedName name="RANGEQUERY7_F7_30_DEPVAL606">#REF!</definedName>
    <definedName name="RANGEQUERY7_F7_30_DEPVAL607">#REF!</definedName>
    <definedName name="RANGEQUERY7_F7_30_DEPVAL701">#REF!</definedName>
    <definedName name="RANGEQUERY7_F7_30_DEPVAL702">#REF!</definedName>
    <definedName name="RANGEQUERY7_F7_30_DEPVAL703">#REF!</definedName>
    <definedName name="RANGEQUERY7_F7_30_DEPVAL704">#REF!</definedName>
    <definedName name="RANGEQUERY7_F7_30_DEPVAL705">#REF!</definedName>
    <definedName name="RANGEQUERY7_F7_30_DEPVAL706">#REF!</definedName>
    <definedName name="RANGEQUERY7_F7_30_DEPVAL707">#REF!</definedName>
    <definedName name="RANGEQUERY7_F7_30_DEPVAL801">#REF!</definedName>
    <definedName name="RANGEQUERY7_F7_30_DEPVAL802">#REF!</definedName>
    <definedName name="RANGEQUERY7_F7_30_DEPVAL803">#REF!</definedName>
    <definedName name="RANGEQUERY7_F7_30_DEPVAL804">#REF!</definedName>
    <definedName name="RANGEQUERY7_F7_30_DEPVAL805">#REF!</definedName>
    <definedName name="RANGEQUERY7_F7_30_DEPVAL806">#REF!</definedName>
    <definedName name="RANGEQUERY7_F7_30_DEPVAL807">#REF!</definedName>
    <definedName name="RANGEQUERY7_F7_30_DEPVAL901">#REF!</definedName>
    <definedName name="RANGEQUERY7_F7_30_DEPVAL902">#REF!</definedName>
    <definedName name="RANGEQUERY7_F7_30_DEPVAL903">#REF!</definedName>
    <definedName name="RANGEQUERY7_F7_30_DEPVAL904">#REF!</definedName>
    <definedName name="RANGEQUERY7_F7_30_DEPVAL905">#REF!</definedName>
    <definedName name="RANGEQUERY7_F7_30_DEPVAL906">#REF!</definedName>
    <definedName name="RANGEQUERY7_F7_30_DEPVAL907">#REF!</definedName>
    <definedName name="RANGEQUERY8_F7_30_DEPRUB1001">#REF!</definedName>
    <definedName name="RANGEQUERY8_F7_30_DEPRUB1002">#REF!</definedName>
    <definedName name="RANGEQUERY8_F7_30_DEPRUB1003">#REF!</definedName>
    <definedName name="RANGEQUERY8_F7_30_DEPRUB1004">#REF!</definedName>
    <definedName name="RANGEQUERY8_F7_30_DEPRUB1005">#REF!</definedName>
    <definedName name="RANGEQUERY8_F7_30_DEPRUB1006">#REF!</definedName>
    <definedName name="RANGEQUERY8_F7_30_DEPRUB1007">#REF!</definedName>
    <definedName name="RANGEQUERY8_F7_30_DEPRUB1101">#REF!</definedName>
    <definedName name="RANGEQUERY8_F7_30_DEPRUB1102">#REF!</definedName>
    <definedName name="RANGEQUERY8_F7_30_DEPRUB1103">#REF!</definedName>
    <definedName name="RANGEQUERY8_F7_30_DEPRUB1104">#REF!</definedName>
    <definedName name="RANGEQUERY8_F7_30_DEPRUB1105">#REF!</definedName>
    <definedName name="RANGEQUERY8_F7_30_DEPRUB1106">#REF!</definedName>
    <definedName name="RANGEQUERY8_F7_30_DEPRUB1107">#REF!</definedName>
    <definedName name="RANGEQUERY8_F7_30_DEPRUB1201">#REF!</definedName>
    <definedName name="RANGEQUERY8_F7_30_DEPRUB1202">#REF!</definedName>
    <definedName name="RANGEQUERY8_F7_30_DEPRUB1203">#REF!</definedName>
    <definedName name="RANGEQUERY8_F7_30_DEPRUB1204">#REF!</definedName>
    <definedName name="RANGEQUERY8_F7_30_DEPRUB1205">#REF!</definedName>
    <definedName name="RANGEQUERY8_F7_30_DEPRUB1206">#REF!</definedName>
    <definedName name="RANGEQUERY8_F7_30_DEPRUB1207">#REF!</definedName>
    <definedName name="RANGEQUERY8_F7_30_DEPRUB1301">#REF!</definedName>
    <definedName name="RANGEQUERY8_F7_30_DEPRUB1302">#REF!</definedName>
    <definedName name="RANGEQUERY8_F7_30_DEPRUB1303">#REF!</definedName>
    <definedName name="RANGEQUERY8_F7_30_DEPRUB1304">#REF!</definedName>
    <definedName name="RANGEQUERY8_F7_30_DEPRUB1305">#REF!</definedName>
    <definedName name="RANGEQUERY8_F7_30_DEPRUB1306">#REF!</definedName>
    <definedName name="RANGEQUERY8_F7_30_DEPRUB1307">#REF!</definedName>
    <definedName name="RANGEQUERY8_F7_30_DEPRUB1401">#REF!</definedName>
    <definedName name="RANGEQUERY8_F7_30_DEPRUB1402">#REF!</definedName>
    <definedName name="RANGEQUERY8_F7_30_DEPRUB1403">#REF!</definedName>
    <definedName name="RANGEQUERY8_F7_30_DEPRUB1404">#REF!</definedName>
    <definedName name="RANGEQUERY8_F7_30_DEPRUB1405">#REF!</definedName>
    <definedName name="RANGEQUERY8_F7_30_DEPRUB1406">#REF!</definedName>
    <definedName name="RANGEQUERY8_F7_30_DEPRUB1407">#REF!</definedName>
    <definedName name="RANGEQUERY8_F7_30_DEPRUB1501">#REF!</definedName>
    <definedName name="RANGEQUERY8_F7_30_DEPRUB1502">#REF!</definedName>
    <definedName name="RANGEQUERY8_F7_30_DEPRUB1503">#REF!</definedName>
    <definedName name="RANGEQUERY8_F7_30_DEPRUB1504">#REF!</definedName>
    <definedName name="RANGEQUERY8_F7_30_DEPRUB1505">#REF!</definedName>
    <definedName name="RANGEQUERY8_F7_30_DEPRUB1506">#REF!</definedName>
    <definedName name="RANGEQUERY8_F7_30_DEPRUB1507">#REF!</definedName>
    <definedName name="RANGEQUERY8_F7_30_DEPRUB1601">#REF!</definedName>
    <definedName name="RANGEQUERY8_F7_30_DEPRUB1602">#REF!</definedName>
    <definedName name="RANGEQUERY8_F7_30_DEPRUB1603">#REF!</definedName>
    <definedName name="RANGEQUERY8_F7_30_DEPRUB1604">#REF!</definedName>
    <definedName name="RANGEQUERY8_F7_30_DEPRUB1605">#REF!</definedName>
    <definedName name="RANGEQUERY8_F7_30_DEPRUB1606">#REF!</definedName>
    <definedName name="RANGEQUERY8_F7_30_DEPRUB1607">#REF!</definedName>
    <definedName name="RANGEQUERY8_F7_30_DEPRUB1701">#REF!</definedName>
    <definedName name="RANGEQUERY8_F7_30_DEPRUB1702">#REF!</definedName>
    <definedName name="RANGEQUERY8_F7_30_DEPRUB1703">#REF!</definedName>
    <definedName name="RANGEQUERY8_F7_30_DEPRUB1704">#REF!</definedName>
    <definedName name="RANGEQUERY8_F7_30_DEPRUB1705">#REF!</definedName>
    <definedName name="RANGEQUERY8_F7_30_DEPRUB1706">#REF!</definedName>
    <definedName name="RANGEQUERY8_F7_30_DEPRUB1707">#REF!</definedName>
    <definedName name="RANGEQUERY8_F7_30_DEPRUB201">#REF!</definedName>
    <definedName name="RANGEQUERY8_F7_30_DEPRUB202">#REF!</definedName>
    <definedName name="RANGEQUERY8_F7_30_DEPRUB203">#REF!</definedName>
    <definedName name="RANGEQUERY8_F7_30_DEPRUB204">#REF!</definedName>
    <definedName name="RANGEQUERY8_F7_30_DEPRUB205">#REF!</definedName>
    <definedName name="RANGEQUERY8_F7_30_DEPRUB206">#REF!</definedName>
    <definedName name="RANGEQUERY8_F7_30_DEPRUB207">#REF!</definedName>
    <definedName name="RANGEQUERY8_F7_30_DEPRUB301">#REF!</definedName>
    <definedName name="RANGEQUERY8_F7_30_DEPRUB302">#REF!</definedName>
    <definedName name="RANGEQUERY8_F7_30_DEPRUB303">#REF!</definedName>
    <definedName name="RANGEQUERY8_F7_30_DEPRUB304">#REF!</definedName>
    <definedName name="RANGEQUERY8_F7_30_DEPRUB305">#REF!</definedName>
    <definedName name="RANGEQUERY8_F7_30_DEPRUB306">#REF!</definedName>
    <definedName name="RANGEQUERY8_F7_30_DEPRUB307">#REF!</definedName>
    <definedName name="RANGEQUERY8_F7_30_DEPRUB401">#REF!</definedName>
    <definedName name="RANGEQUERY8_F7_30_DEPRUB402">#REF!</definedName>
    <definedName name="RANGEQUERY8_F7_30_DEPRUB403">#REF!</definedName>
    <definedName name="RANGEQUERY8_F7_30_DEPRUB404">#REF!</definedName>
    <definedName name="RANGEQUERY8_F7_30_DEPRUB405">#REF!</definedName>
    <definedName name="RANGEQUERY8_F7_30_DEPRUB406">#REF!</definedName>
    <definedName name="RANGEQUERY8_F7_30_DEPRUB407">#REF!</definedName>
    <definedName name="RANGEQUERY8_F7_30_DEPRUB501">#REF!</definedName>
    <definedName name="RANGEQUERY8_F7_30_DEPRUB502">#REF!</definedName>
    <definedName name="RANGEQUERY8_F7_30_DEPRUB503">#REF!</definedName>
    <definedName name="RANGEQUERY8_F7_30_DEPRUB504">#REF!</definedName>
    <definedName name="RANGEQUERY8_F7_30_DEPRUB505">#REF!</definedName>
    <definedName name="RANGEQUERY8_F7_30_DEPRUB506">#REF!</definedName>
    <definedName name="RANGEQUERY8_F7_30_DEPRUB507">#REF!</definedName>
    <definedName name="RANGEQUERY8_F7_30_DEPRUB601">#REF!</definedName>
    <definedName name="RANGEQUERY8_F7_30_DEPRUB602">#REF!</definedName>
    <definedName name="RANGEQUERY8_F7_30_DEPRUB603">#REF!</definedName>
    <definedName name="RANGEQUERY8_F7_30_DEPRUB604">#REF!</definedName>
    <definedName name="RANGEQUERY8_F7_30_DEPRUB605">#REF!</definedName>
    <definedName name="RANGEQUERY8_F7_30_DEPRUB606">#REF!</definedName>
    <definedName name="RANGEQUERY8_F7_30_DEPRUB607">#REF!</definedName>
    <definedName name="RANGEQUERY8_F7_30_DEPRUB701">#REF!</definedName>
    <definedName name="RANGEQUERY8_F7_30_DEPRUB702">#REF!</definedName>
    <definedName name="RANGEQUERY8_F7_30_DEPRUB703">#REF!</definedName>
    <definedName name="RANGEQUERY8_F7_30_DEPRUB704">#REF!</definedName>
    <definedName name="RANGEQUERY8_F7_30_DEPRUB705">#REF!</definedName>
    <definedName name="RANGEQUERY8_F7_30_DEPRUB706">#REF!</definedName>
    <definedName name="RANGEQUERY8_F7_30_DEPRUB707">#REF!</definedName>
    <definedName name="RANGEQUERY8_F7_30_DEPRUB801">#REF!</definedName>
    <definedName name="RANGEQUERY8_F7_30_DEPRUB802">#REF!</definedName>
    <definedName name="RANGEQUERY8_F7_30_DEPRUB803">#REF!</definedName>
    <definedName name="RANGEQUERY8_F7_30_DEPRUB804">#REF!</definedName>
    <definedName name="RANGEQUERY8_F7_30_DEPRUB805">#REF!</definedName>
    <definedName name="RANGEQUERY8_F7_30_DEPRUB806">#REF!</definedName>
    <definedName name="RANGEQUERY8_F7_30_DEPRUB807">#REF!</definedName>
    <definedName name="RANGEQUERY8_F7_30_DEPRUB901">#REF!</definedName>
    <definedName name="RANGEQUERY8_F7_30_DEPRUB902">#REF!</definedName>
    <definedName name="RANGEQUERY8_F7_30_DEPRUB903">#REF!</definedName>
    <definedName name="RANGEQUERY8_F7_30_DEPRUB904">#REF!</definedName>
    <definedName name="RANGEQUERY8_F7_30_DEPRUB905">#REF!</definedName>
    <definedName name="RANGEQUERY8_F7_30_DEPRUB906">#REF!</definedName>
    <definedName name="RANGEQUERY8_F7_30_DEPRUB907">#REF!</definedName>
    <definedName name="RANGEQUERY8_F7_30_DEPVAL1001">#REF!</definedName>
    <definedName name="RANGEQUERY8_F7_30_DEPVAL1002">#REF!</definedName>
    <definedName name="RANGEQUERY8_F7_30_DEPVAL1003">#REF!</definedName>
    <definedName name="RANGEQUERY8_F7_30_DEPVAL1004">#REF!</definedName>
    <definedName name="RANGEQUERY8_F7_30_DEPVAL1005">#REF!</definedName>
    <definedName name="RANGEQUERY8_F7_30_DEPVAL1006">#REF!</definedName>
    <definedName name="RANGEQUERY8_F7_30_DEPVAL1007">#REF!</definedName>
    <definedName name="RANGEQUERY8_F7_30_DEPVAL1101">#REF!</definedName>
    <definedName name="RANGEQUERY8_F7_30_DEPVAL1102">#REF!</definedName>
    <definedName name="RANGEQUERY8_F7_30_DEPVAL1103">#REF!</definedName>
    <definedName name="RANGEQUERY8_F7_30_DEPVAL1104">#REF!</definedName>
    <definedName name="RANGEQUERY8_F7_30_DEPVAL1105">#REF!</definedName>
    <definedName name="RANGEQUERY8_F7_30_DEPVAL1106">#REF!</definedName>
    <definedName name="RANGEQUERY8_F7_30_DEPVAL1107">#REF!</definedName>
    <definedName name="RANGEQUERY8_F7_30_DEPVAL1201">#REF!</definedName>
    <definedName name="RANGEQUERY8_F7_30_DEPVAL1202">#REF!</definedName>
    <definedName name="RANGEQUERY8_F7_30_DEPVAL1203">#REF!</definedName>
    <definedName name="RANGEQUERY8_F7_30_DEPVAL1204">#REF!</definedName>
    <definedName name="RANGEQUERY8_F7_30_DEPVAL1205">#REF!</definedName>
    <definedName name="RANGEQUERY8_F7_30_DEPVAL1206">#REF!</definedName>
    <definedName name="RANGEQUERY8_F7_30_DEPVAL1207">#REF!</definedName>
    <definedName name="RANGEQUERY8_F7_30_DEPVAL1301">#REF!</definedName>
    <definedName name="RANGEQUERY8_F7_30_DEPVAL1302">#REF!</definedName>
    <definedName name="RANGEQUERY8_F7_30_DEPVAL1303">#REF!</definedName>
    <definedName name="RANGEQUERY8_F7_30_DEPVAL1304">#REF!</definedName>
    <definedName name="RANGEQUERY8_F7_30_DEPVAL1305">#REF!</definedName>
    <definedName name="RANGEQUERY8_F7_30_DEPVAL1306">#REF!</definedName>
    <definedName name="RANGEQUERY8_F7_30_DEPVAL1307">#REF!</definedName>
    <definedName name="RANGEQUERY8_F7_30_DEPVAL1401">#REF!</definedName>
    <definedName name="RANGEQUERY8_F7_30_DEPVAL1402">#REF!</definedName>
    <definedName name="RANGEQUERY8_F7_30_DEPVAL1403">#REF!</definedName>
    <definedName name="RANGEQUERY8_F7_30_DEPVAL1404">#REF!</definedName>
    <definedName name="RANGEQUERY8_F7_30_DEPVAL1405">#REF!</definedName>
    <definedName name="RANGEQUERY8_F7_30_DEPVAL1406">#REF!</definedName>
    <definedName name="RANGEQUERY8_F7_30_DEPVAL1407">#REF!</definedName>
    <definedName name="RANGEQUERY8_F7_30_DEPVAL1501">#REF!</definedName>
    <definedName name="RANGEQUERY8_F7_30_DEPVAL1502">#REF!</definedName>
    <definedName name="RANGEQUERY8_F7_30_DEPVAL1503">#REF!</definedName>
    <definedName name="RANGEQUERY8_F7_30_DEPVAL1504">#REF!</definedName>
    <definedName name="RANGEQUERY8_F7_30_DEPVAL1505">#REF!</definedName>
    <definedName name="RANGEQUERY8_F7_30_DEPVAL1506">#REF!</definedName>
    <definedName name="RANGEQUERY8_F7_30_DEPVAL1507">#REF!</definedName>
    <definedName name="RANGEQUERY8_F7_30_DEPVAL1601">#REF!</definedName>
    <definedName name="RANGEQUERY8_F7_30_DEPVAL1602">#REF!</definedName>
    <definedName name="RANGEQUERY8_F7_30_DEPVAL1603">#REF!</definedName>
    <definedName name="RANGEQUERY8_F7_30_DEPVAL1604">#REF!</definedName>
    <definedName name="RANGEQUERY8_F7_30_DEPVAL1605">#REF!</definedName>
    <definedName name="RANGEQUERY8_F7_30_DEPVAL1606">#REF!</definedName>
    <definedName name="RANGEQUERY8_F7_30_DEPVAL1607">#REF!</definedName>
    <definedName name="RANGEQUERY8_F7_30_DEPVAL1701">#REF!</definedName>
    <definedName name="RANGEQUERY8_F7_30_DEPVAL1702">#REF!</definedName>
    <definedName name="RANGEQUERY8_F7_30_DEPVAL1703">#REF!</definedName>
    <definedName name="RANGEQUERY8_F7_30_DEPVAL1704">#REF!</definedName>
    <definedName name="RANGEQUERY8_F7_30_DEPVAL1705">#REF!</definedName>
    <definedName name="RANGEQUERY8_F7_30_DEPVAL1706">#REF!</definedName>
    <definedName name="RANGEQUERY8_F7_30_DEPVAL1707">#REF!</definedName>
    <definedName name="RANGEQUERY8_F7_30_DEPVAL201">#REF!</definedName>
    <definedName name="RANGEQUERY8_F7_30_DEPVAL202">#REF!</definedName>
    <definedName name="RANGEQUERY8_F7_30_DEPVAL203">#REF!</definedName>
    <definedName name="RANGEQUERY8_F7_30_DEPVAL204">#REF!</definedName>
    <definedName name="RANGEQUERY8_F7_30_DEPVAL205">#REF!</definedName>
    <definedName name="RANGEQUERY8_F7_30_DEPVAL206">#REF!</definedName>
    <definedName name="RANGEQUERY8_F7_30_DEPVAL207">#REF!</definedName>
    <definedName name="RANGEQUERY8_F7_30_DEPVAL301">#REF!</definedName>
    <definedName name="RANGEQUERY8_F7_30_DEPVAL302">#REF!</definedName>
    <definedName name="RANGEQUERY8_F7_30_DEPVAL303">#REF!</definedName>
    <definedName name="RANGEQUERY8_F7_30_DEPVAL304">#REF!</definedName>
    <definedName name="RANGEQUERY8_F7_30_DEPVAL305">#REF!</definedName>
    <definedName name="RANGEQUERY8_F7_30_DEPVAL306">#REF!</definedName>
    <definedName name="RANGEQUERY8_F7_30_DEPVAL307">#REF!</definedName>
    <definedName name="RANGEQUERY8_F7_30_DEPVAL401">#REF!</definedName>
    <definedName name="RANGEQUERY8_F7_30_DEPVAL402">#REF!</definedName>
    <definedName name="RANGEQUERY8_F7_30_DEPVAL403">#REF!</definedName>
    <definedName name="RANGEQUERY8_F7_30_DEPVAL404">#REF!</definedName>
    <definedName name="RANGEQUERY8_F7_30_DEPVAL405">#REF!</definedName>
    <definedName name="RANGEQUERY8_F7_30_DEPVAL406">#REF!</definedName>
    <definedName name="RANGEQUERY8_F7_30_DEPVAL407">#REF!</definedName>
    <definedName name="RANGEQUERY8_F7_30_DEPVAL501">#REF!</definedName>
    <definedName name="RANGEQUERY8_F7_30_DEPVAL502">#REF!</definedName>
    <definedName name="RANGEQUERY8_F7_30_DEPVAL503">#REF!</definedName>
    <definedName name="RANGEQUERY8_F7_30_DEPVAL504">#REF!</definedName>
    <definedName name="RANGEQUERY8_F7_30_DEPVAL505">#REF!</definedName>
    <definedName name="RANGEQUERY8_F7_30_DEPVAL506">#REF!</definedName>
    <definedName name="RANGEQUERY8_F7_30_DEPVAL507">#REF!</definedName>
    <definedName name="RANGEQUERY8_F7_30_DEPVAL601">#REF!</definedName>
    <definedName name="RANGEQUERY8_F7_30_DEPVAL602">#REF!</definedName>
    <definedName name="RANGEQUERY8_F7_30_DEPVAL603">#REF!</definedName>
    <definedName name="RANGEQUERY8_F7_30_DEPVAL604">#REF!</definedName>
    <definedName name="RANGEQUERY8_F7_30_DEPVAL605">#REF!</definedName>
    <definedName name="RANGEQUERY8_F7_30_DEPVAL606">#REF!</definedName>
    <definedName name="RANGEQUERY8_F7_30_DEPVAL607">#REF!</definedName>
    <definedName name="RANGEQUERY8_F7_30_DEPVAL701">#REF!</definedName>
    <definedName name="RANGEQUERY8_F7_30_DEPVAL702">#REF!</definedName>
    <definedName name="RANGEQUERY8_F7_30_DEPVAL703">#REF!</definedName>
    <definedName name="RANGEQUERY8_F7_30_DEPVAL704">#REF!</definedName>
    <definedName name="RANGEQUERY8_F7_30_DEPVAL705">#REF!</definedName>
    <definedName name="RANGEQUERY8_F7_30_DEPVAL706">#REF!</definedName>
    <definedName name="RANGEQUERY8_F7_30_DEPVAL707">#REF!</definedName>
    <definedName name="RANGEQUERY8_F7_30_DEPVAL801">#REF!</definedName>
    <definedName name="RANGEQUERY8_F7_30_DEPVAL802">#REF!</definedName>
    <definedName name="RANGEQUERY8_F7_30_DEPVAL803">#REF!</definedName>
    <definedName name="RANGEQUERY8_F7_30_DEPVAL804">#REF!</definedName>
    <definedName name="RANGEQUERY8_F7_30_DEPVAL805">#REF!</definedName>
    <definedName name="RANGEQUERY8_F7_30_DEPVAL806">#REF!</definedName>
    <definedName name="RANGEQUERY8_F7_30_DEPVAL807">#REF!</definedName>
    <definedName name="RANGEQUERY8_F7_30_DEPVAL901">#REF!</definedName>
    <definedName name="RANGEQUERY8_F7_30_DEPVAL902">#REF!</definedName>
    <definedName name="RANGEQUERY8_F7_30_DEPVAL903">#REF!</definedName>
    <definedName name="RANGEQUERY8_F7_30_DEPVAL904">#REF!</definedName>
    <definedName name="RANGEQUERY8_F7_30_DEPVAL905">#REF!</definedName>
    <definedName name="RANGEQUERY8_F7_30_DEPVAL906">#REF!</definedName>
    <definedName name="RANGEQUERY8_F7_30_DEPVAL907">#REF!</definedName>
    <definedName name="RANGEQUERY9_F7_30_DEPRUB1001">#REF!</definedName>
    <definedName name="RANGEQUERY9_F7_30_DEPRUB1002">#REF!</definedName>
    <definedName name="RANGEQUERY9_F7_30_DEPRUB1003">#REF!</definedName>
    <definedName name="RANGEQUERY9_F7_30_DEPRUB1004">#REF!</definedName>
    <definedName name="RANGEQUERY9_F7_30_DEPRUB1005">#REF!</definedName>
    <definedName name="RANGEQUERY9_F7_30_DEPRUB1006">#REF!</definedName>
    <definedName name="RANGEQUERY9_F7_30_DEPRUB1007">#REF!</definedName>
    <definedName name="RANGEQUERY9_F7_30_DEPRUB1101">#REF!</definedName>
    <definedName name="RANGEQUERY9_F7_30_DEPRUB1102">#REF!</definedName>
    <definedName name="RANGEQUERY9_F7_30_DEPRUB1103">#REF!</definedName>
    <definedName name="RANGEQUERY9_F7_30_DEPRUB1104">#REF!</definedName>
    <definedName name="RANGEQUERY9_F7_30_DEPRUB1105">#REF!</definedName>
    <definedName name="RANGEQUERY9_F7_30_DEPRUB1106">#REF!</definedName>
    <definedName name="RANGEQUERY9_F7_30_DEPRUB1107">#REF!</definedName>
    <definedName name="RANGEQUERY9_F7_30_DEPRUB1201">#REF!</definedName>
    <definedName name="RANGEQUERY9_F7_30_DEPRUB1202">#REF!</definedName>
    <definedName name="RANGEQUERY9_F7_30_DEPRUB1203">#REF!</definedName>
    <definedName name="RANGEQUERY9_F7_30_DEPRUB1204">#REF!</definedName>
    <definedName name="RANGEQUERY9_F7_30_DEPRUB1205">#REF!</definedName>
    <definedName name="RANGEQUERY9_F7_30_DEPRUB1206">#REF!</definedName>
    <definedName name="RANGEQUERY9_F7_30_DEPRUB1207">#REF!</definedName>
    <definedName name="RANGEQUERY9_F7_30_DEPRUB1301">#REF!</definedName>
    <definedName name="RANGEQUERY9_F7_30_DEPRUB1302">#REF!</definedName>
    <definedName name="RANGEQUERY9_F7_30_DEPRUB1303">#REF!</definedName>
    <definedName name="RANGEQUERY9_F7_30_DEPRUB1304">#REF!</definedName>
    <definedName name="RANGEQUERY9_F7_30_DEPRUB1305">#REF!</definedName>
    <definedName name="RANGEQUERY9_F7_30_DEPRUB1306">#REF!</definedName>
    <definedName name="RANGEQUERY9_F7_30_DEPRUB1307">#REF!</definedName>
    <definedName name="RANGEQUERY9_F7_30_DEPRUB1401">#REF!</definedName>
    <definedName name="RANGEQUERY9_F7_30_DEPRUB1402">#REF!</definedName>
    <definedName name="RANGEQUERY9_F7_30_DEPRUB1403">#REF!</definedName>
    <definedName name="RANGEQUERY9_F7_30_DEPRUB1404">#REF!</definedName>
    <definedName name="RANGEQUERY9_F7_30_DEPRUB1405">#REF!</definedName>
    <definedName name="RANGEQUERY9_F7_30_DEPRUB1406">#REF!</definedName>
    <definedName name="RANGEQUERY9_F7_30_DEPRUB1407">#REF!</definedName>
    <definedName name="RANGEQUERY9_F7_30_DEPRUB1501">#REF!</definedName>
    <definedName name="RANGEQUERY9_F7_30_DEPRUB1502">#REF!</definedName>
    <definedName name="RANGEQUERY9_F7_30_DEPRUB1503">#REF!</definedName>
    <definedName name="RANGEQUERY9_F7_30_DEPRUB1504">#REF!</definedName>
    <definedName name="RANGEQUERY9_F7_30_DEPRUB1505">#REF!</definedName>
    <definedName name="RANGEQUERY9_F7_30_DEPRUB1506">#REF!</definedName>
    <definedName name="RANGEQUERY9_F7_30_DEPRUB1507">#REF!</definedName>
    <definedName name="RANGEQUERY9_F7_30_DEPRUB1601">#REF!</definedName>
    <definedName name="RANGEQUERY9_F7_30_DEPRUB1602">#REF!</definedName>
    <definedName name="RANGEQUERY9_F7_30_DEPRUB1603">#REF!</definedName>
    <definedName name="RANGEQUERY9_F7_30_DEPRUB1604">#REF!</definedName>
    <definedName name="RANGEQUERY9_F7_30_DEPRUB1605">#REF!</definedName>
    <definedName name="RANGEQUERY9_F7_30_DEPRUB1606">#REF!</definedName>
    <definedName name="RANGEQUERY9_F7_30_DEPRUB1607">#REF!</definedName>
    <definedName name="RANGEQUERY9_F7_30_DEPRUB1701">#REF!</definedName>
    <definedName name="RANGEQUERY9_F7_30_DEPRUB1702">#REF!</definedName>
    <definedName name="RANGEQUERY9_F7_30_DEPRUB1703">#REF!</definedName>
    <definedName name="RANGEQUERY9_F7_30_DEPRUB1704">#REF!</definedName>
    <definedName name="RANGEQUERY9_F7_30_DEPRUB1705">#REF!</definedName>
    <definedName name="RANGEQUERY9_F7_30_DEPRUB1706">#REF!</definedName>
    <definedName name="RANGEQUERY9_F7_30_DEPRUB1707">#REF!</definedName>
    <definedName name="RANGEQUERY9_F7_30_DEPRUB201">#REF!</definedName>
    <definedName name="RANGEQUERY9_F7_30_DEPRUB202">#REF!</definedName>
    <definedName name="RANGEQUERY9_F7_30_DEPRUB203">#REF!</definedName>
    <definedName name="RANGEQUERY9_F7_30_DEPRUB204">#REF!</definedName>
    <definedName name="RANGEQUERY9_F7_30_DEPRUB205">#REF!</definedName>
    <definedName name="RANGEQUERY9_F7_30_DEPRUB206">#REF!</definedName>
    <definedName name="RANGEQUERY9_F7_30_DEPRUB207">#REF!</definedName>
    <definedName name="RANGEQUERY9_F7_30_DEPRUB301">#REF!</definedName>
    <definedName name="RANGEQUERY9_F7_30_DEPRUB302">#REF!</definedName>
    <definedName name="RANGEQUERY9_F7_30_DEPRUB303">#REF!</definedName>
    <definedName name="RANGEQUERY9_F7_30_DEPRUB304">#REF!</definedName>
    <definedName name="RANGEQUERY9_F7_30_DEPRUB305">#REF!</definedName>
    <definedName name="RANGEQUERY9_F7_30_DEPRUB306">#REF!</definedName>
    <definedName name="RANGEQUERY9_F7_30_DEPRUB307">#REF!</definedName>
    <definedName name="RANGEQUERY9_F7_30_DEPRUB401">#REF!</definedName>
    <definedName name="RANGEQUERY9_F7_30_DEPRUB402">#REF!</definedName>
    <definedName name="RANGEQUERY9_F7_30_DEPRUB403">#REF!</definedName>
    <definedName name="RANGEQUERY9_F7_30_DEPRUB404">#REF!</definedName>
    <definedName name="RANGEQUERY9_F7_30_DEPRUB405">#REF!</definedName>
    <definedName name="RANGEQUERY9_F7_30_DEPRUB406">#REF!</definedName>
    <definedName name="RANGEQUERY9_F7_30_DEPRUB407">#REF!</definedName>
    <definedName name="RANGEQUERY9_F7_30_DEPRUB501">#REF!</definedName>
    <definedName name="RANGEQUERY9_F7_30_DEPRUB502">#REF!</definedName>
    <definedName name="RANGEQUERY9_F7_30_DEPRUB503">#REF!</definedName>
    <definedName name="RANGEQUERY9_F7_30_DEPRUB504">#REF!</definedName>
    <definedName name="RANGEQUERY9_F7_30_DEPRUB505">#REF!</definedName>
    <definedName name="RANGEQUERY9_F7_30_DEPRUB506">#REF!</definedName>
    <definedName name="RANGEQUERY9_F7_30_DEPRUB507">#REF!</definedName>
    <definedName name="RANGEQUERY9_F7_30_DEPRUB601">#REF!</definedName>
    <definedName name="RANGEQUERY9_F7_30_DEPRUB602">#REF!</definedName>
    <definedName name="RANGEQUERY9_F7_30_DEPRUB603">#REF!</definedName>
    <definedName name="RANGEQUERY9_F7_30_DEPRUB604">#REF!</definedName>
    <definedName name="RANGEQUERY9_F7_30_DEPRUB605">#REF!</definedName>
    <definedName name="RANGEQUERY9_F7_30_DEPRUB606">#REF!</definedName>
    <definedName name="RANGEQUERY9_F7_30_DEPRUB607">#REF!</definedName>
    <definedName name="RANGEQUERY9_F7_30_DEPRUB701">#REF!</definedName>
    <definedName name="RANGEQUERY9_F7_30_DEPRUB702">#REF!</definedName>
    <definedName name="RANGEQUERY9_F7_30_DEPRUB703">#REF!</definedName>
    <definedName name="RANGEQUERY9_F7_30_DEPRUB704">#REF!</definedName>
    <definedName name="RANGEQUERY9_F7_30_DEPRUB705">#REF!</definedName>
    <definedName name="RANGEQUERY9_F7_30_DEPRUB706">#REF!</definedName>
    <definedName name="RANGEQUERY9_F7_30_DEPRUB707">#REF!</definedName>
    <definedName name="RANGEQUERY9_F7_30_DEPRUB801">#REF!</definedName>
    <definedName name="RANGEQUERY9_F7_30_DEPRUB802">#REF!</definedName>
    <definedName name="RANGEQUERY9_F7_30_DEPRUB803">#REF!</definedName>
    <definedName name="RANGEQUERY9_F7_30_DEPRUB804">#REF!</definedName>
    <definedName name="RANGEQUERY9_F7_30_DEPRUB805">#REF!</definedName>
    <definedName name="RANGEQUERY9_F7_30_DEPRUB806">#REF!</definedName>
    <definedName name="RANGEQUERY9_F7_30_DEPRUB807">#REF!</definedName>
    <definedName name="RANGEQUERY9_F7_30_DEPRUB901">#REF!</definedName>
    <definedName name="RANGEQUERY9_F7_30_DEPRUB902">#REF!</definedName>
    <definedName name="RANGEQUERY9_F7_30_DEPRUB903">#REF!</definedName>
    <definedName name="RANGEQUERY9_F7_30_DEPRUB904">#REF!</definedName>
    <definedName name="RANGEQUERY9_F7_30_DEPRUB905">#REF!</definedName>
    <definedName name="RANGEQUERY9_F7_30_DEPRUB906">#REF!</definedName>
    <definedName name="RANGEQUERY9_F7_30_DEPRUB907">#REF!</definedName>
    <definedName name="RANGEQUERY9_F7_30_DEPVAL1001">#REF!</definedName>
    <definedName name="RANGEQUERY9_F7_30_DEPVAL1002">#REF!</definedName>
    <definedName name="RANGEQUERY9_F7_30_DEPVAL1003">#REF!</definedName>
    <definedName name="RANGEQUERY9_F7_30_DEPVAL1004">#REF!</definedName>
    <definedName name="RANGEQUERY9_F7_30_DEPVAL1005">#REF!</definedName>
    <definedName name="RANGEQUERY9_F7_30_DEPVAL1006">#REF!</definedName>
    <definedName name="RANGEQUERY9_F7_30_DEPVAL1007">#REF!</definedName>
    <definedName name="RANGEQUERY9_F7_30_DEPVAL1101">#REF!</definedName>
    <definedName name="RANGEQUERY9_F7_30_DEPVAL1102">#REF!</definedName>
    <definedName name="RANGEQUERY9_F7_30_DEPVAL1103">#REF!</definedName>
    <definedName name="RANGEQUERY9_F7_30_DEPVAL1104">#REF!</definedName>
    <definedName name="RANGEQUERY9_F7_30_DEPVAL1105">#REF!</definedName>
    <definedName name="RANGEQUERY9_F7_30_DEPVAL1106">#REF!</definedName>
    <definedName name="RANGEQUERY9_F7_30_DEPVAL1107">#REF!</definedName>
    <definedName name="RANGEQUERY9_F7_30_DEPVAL1201">#REF!</definedName>
    <definedName name="RANGEQUERY9_F7_30_DEPVAL1202">#REF!</definedName>
    <definedName name="RANGEQUERY9_F7_30_DEPVAL1203">#REF!</definedName>
    <definedName name="RANGEQUERY9_F7_30_DEPVAL1204">#REF!</definedName>
    <definedName name="RANGEQUERY9_F7_30_DEPVAL1205">#REF!</definedName>
    <definedName name="RANGEQUERY9_F7_30_DEPVAL1206">#REF!</definedName>
    <definedName name="RANGEQUERY9_F7_30_DEPVAL1207">#REF!</definedName>
    <definedName name="RANGEQUERY9_F7_30_DEPVAL1301">#REF!</definedName>
    <definedName name="RANGEQUERY9_F7_30_DEPVAL1302">#REF!</definedName>
    <definedName name="RANGEQUERY9_F7_30_DEPVAL1303">#REF!</definedName>
    <definedName name="RANGEQUERY9_F7_30_DEPVAL1304">#REF!</definedName>
    <definedName name="RANGEQUERY9_F7_30_DEPVAL1305">#REF!</definedName>
    <definedName name="RANGEQUERY9_F7_30_DEPVAL1306">#REF!</definedName>
    <definedName name="RANGEQUERY9_F7_30_DEPVAL1307">#REF!</definedName>
    <definedName name="RANGEQUERY9_F7_30_DEPVAL1401">#REF!</definedName>
    <definedName name="RANGEQUERY9_F7_30_DEPVAL1402">#REF!</definedName>
    <definedName name="RANGEQUERY9_F7_30_DEPVAL1403">#REF!</definedName>
    <definedName name="RANGEQUERY9_F7_30_DEPVAL1404">#REF!</definedName>
    <definedName name="RANGEQUERY9_F7_30_DEPVAL1405">#REF!</definedName>
    <definedName name="RANGEQUERY9_F7_30_DEPVAL1406">#REF!</definedName>
    <definedName name="RANGEQUERY9_F7_30_DEPVAL1407">#REF!</definedName>
    <definedName name="RANGEQUERY9_F7_30_DEPVAL1501">#REF!</definedName>
    <definedName name="RANGEQUERY9_F7_30_DEPVAL1502">#REF!</definedName>
    <definedName name="RANGEQUERY9_F7_30_DEPVAL1503">#REF!</definedName>
    <definedName name="RANGEQUERY9_F7_30_DEPVAL1504">#REF!</definedName>
    <definedName name="RANGEQUERY9_F7_30_DEPVAL1505">#REF!</definedName>
    <definedName name="RANGEQUERY9_F7_30_DEPVAL1506">#REF!</definedName>
    <definedName name="RANGEQUERY9_F7_30_DEPVAL1507">#REF!</definedName>
    <definedName name="RANGEQUERY9_F7_30_DEPVAL1601">#REF!</definedName>
    <definedName name="RANGEQUERY9_F7_30_DEPVAL1602">#REF!</definedName>
    <definedName name="RANGEQUERY9_F7_30_DEPVAL1603">#REF!</definedName>
    <definedName name="RANGEQUERY9_F7_30_DEPVAL1604">#REF!</definedName>
    <definedName name="RANGEQUERY9_F7_30_DEPVAL1605">#REF!</definedName>
    <definedName name="RANGEQUERY9_F7_30_DEPVAL1606">#REF!</definedName>
    <definedName name="RANGEQUERY9_F7_30_DEPVAL1607">#REF!</definedName>
    <definedName name="RANGEQUERY9_F7_30_DEPVAL1701">#REF!</definedName>
    <definedName name="RANGEQUERY9_F7_30_DEPVAL1702">#REF!</definedName>
    <definedName name="RANGEQUERY9_F7_30_DEPVAL1703">#REF!</definedName>
    <definedName name="RANGEQUERY9_F7_30_DEPVAL1704">#REF!</definedName>
    <definedName name="RANGEQUERY9_F7_30_DEPVAL1705">#REF!</definedName>
    <definedName name="RANGEQUERY9_F7_30_DEPVAL1706">#REF!</definedName>
    <definedName name="RANGEQUERY9_F7_30_DEPVAL1707">#REF!</definedName>
    <definedName name="RANGEQUERY9_F7_30_DEPVAL201">#REF!</definedName>
    <definedName name="RANGEQUERY9_F7_30_DEPVAL202">#REF!</definedName>
    <definedName name="RANGEQUERY9_F7_30_DEPVAL203">#REF!</definedName>
    <definedName name="RANGEQUERY9_F7_30_DEPVAL204">#REF!</definedName>
    <definedName name="RANGEQUERY9_F7_30_DEPVAL205">#REF!</definedName>
    <definedName name="RANGEQUERY9_F7_30_DEPVAL206">#REF!</definedName>
    <definedName name="RANGEQUERY9_F7_30_DEPVAL207">#REF!</definedName>
    <definedName name="RANGEQUERY9_F7_30_DEPVAL301">#REF!</definedName>
    <definedName name="RANGEQUERY9_F7_30_DEPVAL302">#REF!</definedName>
    <definedName name="RANGEQUERY9_F7_30_DEPVAL303">#REF!</definedName>
    <definedName name="RANGEQUERY9_F7_30_DEPVAL304">#REF!</definedName>
    <definedName name="RANGEQUERY9_F7_30_DEPVAL305">#REF!</definedName>
    <definedName name="RANGEQUERY9_F7_30_DEPVAL306">#REF!</definedName>
    <definedName name="RANGEQUERY9_F7_30_DEPVAL307">#REF!</definedName>
    <definedName name="RANGEQUERY9_F7_30_DEPVAL401">#REF!</definedName>
    <definedName name="RANGEQUERY9_F7_30_DEPVAL402">#REF!</definedName>
    <definedName name="RANGEQUERY9_F7_30_DEPVAL403">#REF!</definedName>
    <definedName name="RANGEQUERY9_F7_30_DEPVAL404">#REF!</definedName>
    <definedName name="RANGEQUERY9_F7_30_DEPVAL405">#REF!</definedName>
    <definedName name="RANGEQUERY9_F7_30_DEPVAL406">#REF!</definedName>
    <definedName name="RANGEQUERY9_F7_30_DEPVAL407">#REF!</definedName>
    <definedName name="RANGEQUERY9_F7_30_DEPVAL501">#REF!</definedName>
    <definedName name="RANGEQUERY9_F7_30_DEPVAL502">#REF!</definedName>
    <definedName name="RANGEQUERY9_F7_30_DEPVAL503">#REF!</definedName>
    <definedName name="RANGEQUERY9_F7_30_DEPVAL504">#REF!</definedName>
    <definedName name="RANGEQUERY9_F7_30_DEPVAL505">#REF!</definedName>
    <definedName name="RANGEQUERY9_F7_30_DEPVAL506">#REF!</definedName>
    <definedName name="RANGEQUERY9_F7_30_DEPVAL507">#REF!</definedName>
    <definedName name="RANGEQUERY9_F7_30_DEPVAL601">#REF!</definedName>
    <definedName name="RANGEQUERY9_F7_30_DEPVAL602">#REF!</definedName>
    <definedName name="RANGEQUERY9_F7_30_DEPVAL603">#REF!</definedName>
    <definedName name="RANGEQUERY9_F7_30_DEPVAL604">#REF!</definedName>
    <definedName name="RANGEQUERY9_F7_30_DEPVAL605">#REF!</definedName>
    <definedName name="RANGEQUERY9_F7_30_DEPVAL606">#REF!</definedName>
    <definedName name="RANGEQUERY9_F7_30_DEPVAL607">#REF!</definedName>
    <definedName name="RANGEQUERY9_F7_30_DEPVAL701">#REF!</definedName>
    <definedName name="RANGEQUERY9_F7_30_DEPVAL702">#REF!</definedName>
    <definedName name="RANGEQUERY9_F7_30_DEPVAL703">#REF!</definedName>
    <definedName name="RANGEQUERY9_F7_30_DEPVAL704">#REF!</definedName>
    <definedName name="RANGEQUERY9_F7_30_DEPVAL705">#REF!</definedName>
    <definedName name="RANGEQUERY9_F7_30_DEPVAL706">#REF!</definedName>
    <definedName name="RANGEQUERY9_F7_30_DEPVAL707">#REF!</definedName>
    <definedName name="RANGEQUERY9_F7_30_DEPVAL801">#REF!</definedName>
    <definedName name="RANGEQUERY9_F7_30_DEPVAL802">#REF!</definedName>
    <definedName name="RANGEQUERY9_F7_30_DEPVAL803">#REF!</definedName>
    <definedName name="RANGEQUERY9_F7_30_DEPVAL804">#REF!</definedName>
    <definedName name="RANGEQUERY9_F7_30_DEPVAL805">#REF!</definedName>
    <definedName name="RANGEQUERY9_F7_30_DEPVAL806">#REF!</definedName>
    <definedName name="RANGEQUERY9_F7_30_DEPVAL807">#REF!</definedName>
    <definedName name="RANGEQUERY9_F7_30_DEPVAL901">#REF!</definedName>
    <definedName name="RANGEQUERY9_F7_30_DEPVAL902">#REF!</definedName>
    <definedName name="RANGEQUERY9_F7_30_DEPVAL903">#REF!</definedName>
    <definedName name="RANGEQUERY9_F7_30_DEPVAL904">#REF!</definedName>
    <definedName name="RANGEQUERY9_F7_30_DEPVAL905">#REF!</definedName>
    <definedName name="RANGEQUERY9_F7_30_DEPVAL906">#REF!</definedName>
    <definedName name="RANGEQUERY9_F7_30_DEPVAL907">#REF!</definedName>
    <definedName name="RANGEQUERYCA_F7_30_DEPVAL1001">#REF!</definedName>
    <definedName name="RANGEQUERYCA_F7_30_DEPVAL1002">#REF!</definedName>
    <definedName name="RANGEQUERYCA_F7_30_DEPVAL1003">#REF!</definedName>
    <definedName name="RANGEQUERYCA_F7_30_DEPVAL1004">#REF!</definedName>
    <definedName name="RANGEQUERYCA_F7_30_DEPVAL1005">#REF!</definedName>
    <definedName name="RANGEQUERYCA_F7_30_DEPVAL1006">#REF!</definedName>
    <definedName name="RANGEQUERYCA_F7_30_DEPVAL1007">#REF!</definedName>
    <definedName name="RANGEQUERYCA_F7_30_DEPVAL1101">#REF!</definedName>
    <definedName name="RANGEQUERYCA_F7_30_DEPVAL1102">#REF!</definedName>
    <definedName name="RANGEQUERYCA_F7_30_DEPVAL1103">#REF!</definedName>
    <definedName name="RANGEQUERYCA_F7_30_DEPVAL1104">#REF!</definedName>
    <definedName name="RANGEQUERYCA_F7_30_DEPVAL1105">#REF!</definedName>
    <definedName name="RANGEQUERYCA_F7_30_DEPVAL1106">#REF!</definedName>
    <definedName name="RANGEQUERYCA_F7_30_DEPVAL1107">#REF!</definedName>
    <definedName name="RANGEQUERYCA_F7_30_DEPVAL1201">#REF!</definedName>
    <definedName name="RANGEQUERYCA_F7_30_DEPVAL1202">#REF!</definedName>
    <definedName name="RANGEQUERYCA_F7_30_DEPVAL1203">#REF!</definedName>
    <definedName name="RANGEQUERYCA_F7_30_DEPVAL1204">#REF!</definedName>
    <definedName name="RANGEQUERYCA_F7_30_DEPVAL1205">#REF!</definedName>
    <definedName name="RANGEQUERYCA_F7_30_DEPVAL1206">#REF!</definedName>
    <definedName name="RANGEQUERYCA_F7_30_DEPVAL1207">#REF!</definedName>
    <definedName name="RANGEQUERYCA_F7_30_DEPVAL1301">#REF!</definedName>
    <definedName name="RANGEQUERYCA_F7_30_DEPVAL1302">#REF!</definedName>
    <definedName name="RANGEQUERYCA_F7_30_DEPVAL1303">#REF!</definedName>
    <definedName name="RANGEQUERYCA_F7_30_DEPVAL1304">#REF!</definedName>
    <definedName name="RANGEQUERYCA_F7_30_DEPVAL1305">#REF!</definedName>
    <definedName name="RANGEQUERYCA_F7_30_DEPVAL1306">#REF!</definedName>
    <definedName name="RANGEQUERYCA_F7_30_DEPVAL1307">#REF!</definedName>
    <definedName name="RANGEQUERYCA_F7_30_DEPVAL1401">#REF!</definedName>
    <definedName name="RANGEQUERYCA_F7_30_DEPVAL1402">#REF!</definedName>
    <definedName name="RANGEQUERYCA_F7_30_DEPVAL1403">#REF!</definedName>
    <definedName name="RANGEQUERYCA_F7_30_DEPVAL1404">#REF!</definedName>
    <definedName name="RANGEQUERYCA_F7_30_DEPVAL1405">#REF!</definedName>
    <definedName name="RANGEQUERYCA_F7_30_DEPVAL1406">#REF!</definedName>
    <definedName name="RANGEQUERYCA_F7_30_DEPVAL1407">#REF!</definedName>
    <definedName name="RANGEQUERYCA_F7_30_DEPVAL1501">#REF!</definedName>
    <definedName name="RANGEQUERYCA_F7_30_DEPVAL1502">#REF!</definedName>
    <definedName name="RANGEQUERYCA_F7_30_DEPVAL1503">#REF!</definedName>
    <definedName name="RANGEQUERYCA_F7_30_DEPVAL1504">#REF!</definedName>
    <definedName name="RANGEQUERYCA_F7_30_DEPVAL1505">#REF!</definedName>
    <definedName name="RANGEQUERYCA_F7_30_DEPVAL1506">#REF!</definedName>
    <definedName name="RANGEQUERYCA_F7_30_DEPVAL1507">#REF!</definedName>
    <definedName name="RANGEQUERYCA_F7_30_DEPVAL1601">#REF!</definedName>
    <definedName name="RANGEQUERYCA_F7_30_DEPVAL1602">#REF!</definedName>
    <definedName name="RANGEQUERYCA_F7_30_DEPVAL1603">#REF!</definedName>
    <definedName name="RANGEQUERYCA_F7_30_DEPVAL1604">#REF!</definedName>
    <definedName name="RANGEQUERYCA_F7_30_DEPVAL1605">#REF!</definedName>
    <definedName name="RANGEQUERYCA_F7_30_DEPVAL1606">#REF!</definedName>
    <definedName name="RANGEQUERYCA_F7_30_DEPVAL1607">#REF!</definedName>
    <definedName name="RANGEQUERYCA_F7_30_DEPVAL1701">#REF!</definedName>
    <definedName name="RANGEQUERYCA_F7_30_DEPVAL1702">#REF!</definedName>
    <definedName name="RANGEQUERYCA_F7_30_DEPVAL1703">#REF!</definedName>
    <definedName name="RANGEQUERYCA_F7_30_DEPVAL1704">#REF!</definedName>
    <definedName name="RANGEQUERYCA_F7_30_DEPVAL1705">#REF!</definedName>
    <definedName name="RANGEQUERYCA_F7_30_DEPVAL1706">#REF!</definedName>
    <definedName name="RANGEQUERYCA_F7_30_DEPVAL1707">#REF!</definedName>
    <definedName name="RANGEQUERYCA_F7_30_DEPVAL201">#REF!</definedName>
    <definedName name="RANGEQUERYCA_F7_30_DEPVAL202">#REF!</definedName>
    <definedName name="RANGEQUERYCA_F7_30_DEPVAL203">#REF!</definedName>
    <definedName name="RANGEQUERYCA_F7_30_DEPVAL204">#REF!</definedName>
    <definedName name="RANGEQUERYCA_F7_30_DEPVAL205">#REF!</definedName>
    <definedName name="RANGEQUERYCA_F7_30_DEPVAL206">#REF!</definedName>
    <definedName name="RANGEQUERYCA_F7_30_DEPVAL207">#REF!</definedName>
    <definedName name="RANGEQUERYCA_F7_30_DEPVAL301">#REF!</definedName>
    <definedName name="RANGEQUERYCA_F7_30_DEPVAL302">#REF!</definedName>
    <definedName name="RANGEQUERYCA_F7_30_DEPVAL303">#REF!</definedName>
    <definedName name="RANGEQUERYCA_F7_30_DEPVAL304">#REF!</definedName>
    <definedName name="RANGEQUERYCA_F7_30_DEPVAL305">#REF!</definedName>
    <definedName name="RANGEQUERYCA_F7_30_DEPVAL306">#REF!</definedName>
    <definedName name="RANGEQUERYCA_F7_30_DEPVAL307">#REF!</definedName>
    <definedName name="RANGEQUERYCA_F7_30_DEPVAL401">#REF!</definedName>
    <definedName name="RANGEQUERYCA_F7_30_DEPVAL402">#REF!</definedName>
    <definedName name="RANGEQUERYCA_F7_30_DEPVAL403">#REF!</definedName>
    <definedName name="RANGEQUERYCA_F7_30_DEPVAL404">#REF!</definedName>
    <definedName name="RANGEQUERYCA_F7_30_DEPVAL405">#REF!</definedName>
    <definedName name="RANGEQUERYCA_F7_30_DEPVAL406">#REF!</definedName>
    <definedName name="RANGEQUERYCA_F7_30_DEPVAL407">#REF!</definedName>
    <definedName name="RANGEQUERYCA_F7_30_DEPVAL501">#REF!</definedName>
    <definedName name="RANGEQUERYCA_F7_30_DEPVAL502">#REF!</definedName>
    <definedName name="RANGEQUERYCA_F7_30_DEPVAL503">#REF!</definedName>
    <definedName name="RANGEQUERYCA_F7_30_DEPVAL504">#REF!</definedName>
    <definedName name="RANGEQUERYCA_F7_30_DEPVAL505">#REF!</definedName>
    <definedName name="RANGEQUERYCA_F7_30_DEPVAL506">#REF!</definedName>
    <definedName name="RANGEQUERYCA_F7_30_DEPVAL507">#REF!</definedName>
    <definedName name="RANGEQUERYCA_F7_30_DEPVAL601">#REF!</definedName>
    <definedName name="RANGEQUERYCA_F7_30_DEPVAL602">#REF!</definedName>
    <definedName name="RANGEQUERYCA_F7_30_DEPVAL603">#REF!</definedName>
    <definedName name="RANGEQUERYCA_F7_30_DEPVAL604">#REF!</definedName>
    <definedName name="RANGEQUERYCA_F7_30_DEPVAL605">#REF!</definedName>
    <definedName name="RANGEQUERYCA_F7_30_DEPVAL606">#REF!</definedName>
    <definedName name="RANGEQUERYCA_F7_30_DEPVAL607">#REF!</definedName>
    <definedName name="RANGEQUERYCA_F7_30_DEPVAL701">#REF!</definedName>
    <definedName name="RANGEQUERYCA_F7_30_DEPVAL702">#REF!</definedName>
    <definedName name="RANGEQUERYCA_F7_30_DEPVAL703">#REF!</definedName>
    <definedName name="RANGEQUERYCA_F7_30_DEPVAL704">#REF!</definedName>
    <definedName name="RANGEQUERYCA_F7_30_DEPVAL705">#REF!</definedName>
    <definedName name="RANGEQUERYCA_F7_30_DEPVAL706">#REF!</definedName>
    <definedName name="RANGEQUERYCA_F7_30_DEPVAL707">#REF!</definedName>
    <definedName name="RANGEQUERYCA_F7_30_DEPVAL801">#REF!</definedName>
    <definedName name="RANGEQUERYCA_F7_30_DEPVAL802">#REF!</definedName>
    <definedName name="RANGEQUERYCA_F7_30_DEPVAL803">#REF!</definedName>
    <definedName name="RANGEQUERYCA_F7_30_DEPVAL804">#REF!</definedName>
    <definedName name="RANGEQUERYCA_F7_30_DEPVAL805">#REF!</definedName>
    <definedName name="RANGEQUERYCA_F7_30_DEPVAL806">#REF!</definedName>
    <definedName name="RANGEQUERYCA_F7_30_DEPVAL807">#REF!</definedName>
    <definedName name="RANGEQUERYCA_F7_30_DEPVAL901">#REF!</definedName>
    <definedName name="RANGEQUERYCA_F7_30_DEPVAL902">#REF!</definedName>
    <definedName name="RANGEQUERYCA_F7_30_DEPVAL903">#REF!</definedName>
    <definedName name="RANGEQUERYCA_F7_30_DEPVAL904">#REF!</definedName>
    <definedName name="RANGEQUERYCA_F7_30_DEPVAL905">#REF!</definedName>
    <definedName name="RANGEQUERYCA_F7_30_DEPVAL906">#REF!</definedName>
    <definedName name="RANGEQUERYCA_F7_30_DEPVAL907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awerwerfwarf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rawerwerfwarf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RBSHEADER" localSheetId="2">#REF!</definedName>
    <definedName name="RBSHEADER">#REF!</definedName>
    <definedName name="re">#REF!</definedName>
    <definedName name="RECATBSHEAD" localSheetId="2">#REF!</definedName>
    <definedName name="RECATBSHEAD">#REF!</definedName>
    <definedName name="RECATEGORISDBS">#REF!</definedName>
    <definedName name="RECATP_L">#REF!</definedName>
    <definedName name="RECATP_LHEADER">#REF!</definedName>
    <definedName name="redo" localSheetId="2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o_1" localSheetId="2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g">#REF!</definedName>
    <definedName name="Reg_CAPEX_Defl">#NAME?</definedName>
    <definedName name="Region" localSheetId="2">#REF!</definedName>
    <definedName name="Region">#REF!</definedName>
    <definedName name="register" localSheetId="2" hidden="1">{0,#N/A,FALSE,0;0,#N/A,FALSE,0;0,#N/A,FALSE,0;0,#N/A,FALSE,0;0,#N/A,FALSE,0;0,#N/A,FALSE,0;0,#N/A,FALSE,0;0,#N/A,FALSE,0}</definedName>
    <definedName name="register" hidden="1">{0,#N/A,FALSE,0;0,#N/A,FALSE,0;0,#N/A,FALSE,0;0,#N/A,FALSE,0;0,#N/A,FALSE,0;0,#N/A,FALSE,0;0,#N/A,FALSE,0;0,#N/A,FALSE,0}</definedName>
    <definedName name="Renewal_CAPEX_capit">#REF!</definedName>
    <definedName name="REPNAM" localSheetId="2">#REF!</definedName>
    <definedName name="REPNAM">#REF!</definedName>
    <definedName name="REPORT_DATE" localSheetId="2">#REF!</definedName>
    <definedName name="REPORT_DATE">#REF!</definedName>
    <definedName name="report_mon">#REF!</definedName>
    <definedName name="Report02_БрокСчета" hidden="1">#NAME?</definedName>
    <definedName name="Report02_БрокСчетаУУ" hidden="1">#NAME?</definedName>
    <definedName name="Report02_КупоныПроценты" hidden="1">#NAME?</definedName>
    <definedName name="Report02_КупоныПроцентыУУ" hidden="1">#NAME?</definedName>
    <definedName name="Report02_Прочая" hidden="1">#NAME?</definedName>
    <definedName name="Report02_ПрочаяУУ" hidden="1">#NAME?</definedName>
    <definedName name="Report02_Расчеты" hidden="1">#NAME?</definedName>
    <definedName name="Report02_РасчетыУУ" hidden="1">#NAME?</definedName>
    <definedName name="Report02_Сделки" hidden="1">#NAME?</definedName>
    <definedName name="Report02_СделкиУУ" hidden="1">#NAME?</definedName>
    <definedName name="Report02_Тело" hidden="1">#NAME?</definedName>
    <definedName name="Report02_ТелоУУ" hidden="1">#NAME?</definedName>
    <definedName name="Report03_Сумма" hidden="1">#NAME?</definedName>
    <definedName name="Report03_Сумма1" hidden="1">#NAME?</definedName>
    <definedName name="Report03_Сумма2" hidden="1">#NAME?</definedName>
    <definedName name="Report03_СуммаУУ" hidden="1">#NAME?</definedName>
    <definedName name="rere" localSheetId="2" hidden="1">{#N/A,#N/A,FALSE,"ORIX CSC"}</definedName>
    <definedName name="rere" hidden="1">{#N/A,#N/A,FALSE,"ORIX CSC"}</definedName>
    <definedName name="rerere" localSheetId="2" hidden="1">{"mgmt forecast",#N/A,FALSE,"Mgmt Forecast";"dcf table",#N/A,FALSE,"Mgmt Forecast";"sensitivity",#N/A,FALSE,"Mgmt Forecast";"table inputs",#N/A,FALSE,"Mgmt Forecast";"calculations",#N/A,FALSE,"Mgmt Forecast"}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ERVES" localSheetId="2">#REF!</definedName>
    <definedName name="RESERVES">#REF!</definedName>
    <definedName name="Retailbankingservices">#REF!</definedName>
    <definedName name="Rev_Fix_Part_Defl">#NAME?</definedName>
    <definedName name="Rev_Ind_Part_Defl">#NAME?</definedName>
    <definedName name="Revaluation_GAAPNGW02ПереоценкаСоц" hidden="1">#NAME?</definedName>
    <definedName name="rew">{"Valuation_Common",#N/A,FALSE,"Valuation"}</definedName>
    <definedName name="rew_1">{"Valuation_Common",#N/A,FALSE,"Valuation"}</definedName>
    <definedName name="RFERA">#REF!</definedName>
    <definedName name="RFERB">#REF!</definedName>
    <definedName name="RFERC">#REF!</definedName>
    <definedName name="RFERD">#REF!</definedName>
    <definedName name="RFERE">#REF!</definedName>
    <definedName name="RFERF">#REF!</definedName>
    <definedName name="RFERG">#REF!</definedName>
    <definedName name="RFERH">#REF!</definedName>
    <definedName name="RFERI">#REF!</definedName>
    <definedName name="RFERS">#REF!</definedName>
    <definedName name="rg" localSheetId="2" hidden="1">{"'Sheet1'!$A$1:$G$96","'Sheet1'!$A$1:$H$96"}</definedName>
    <definedName name="rg" hidden="1">{"'Sheet1'!$A$1:$G$96","'Sheet1'!$A$1:$H$96"}</definedName>
    <definedName name="Ripley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ipley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iskFreeRate">#REF!</definedName>
    <definedName name="Rost" localSheetId="2">#REF!</definedName>
    <definedName name="Rost">#REF!</definedName>
    <definedName name="rostov" localSheetId="2">#REF!</definedName>
    <definedName name="rostov">#REF!</definedName>
    <definedName name="rozvaha_vysledovka" localSheetId="2" hidden="1">{"glc1",#N/A,FALSE,"GLC";"glc2",#N/A,FALSE,"GLC";"glc3",#N/A,FALSE,"GLC";"glc4",#N/A,FALSE,"GLC";"glc5",#N/A,FALSE,"GLC"}</definedName>
    <definedName name="rozvaha_vysledovka" hidden="1">{"glc1",#N/A,FALSE,"GLC";"glc2",#N/A,FALSE,"GLC";"glc3",#N/A,FALSE,"GLC";"glc4",#N/A,FALSE,"GLC";"glc5",#N/A,FALSE,"GLC"}</definedName>
    <definedName name="rPlanxls.GuV01">#REF!</definedName>
    <definedName name="RRM">{"'CVB-Zinssatz Akt'!$A$2:$M$10","'CVB Ist'!$C$35:$O$37"}</definedName>
    <definedName name="rrr" localSheetId="2" hidden="1">{0,#N/A,FALSE,0;0,#N/A,FALSE,0;0,#N/A,FALSE,0;0,#N/A,FALSE,0;0,#N/A,FALSE,0;0,#N/A,FALSE,0;0,#N/A,FALSE,0;0,#N/A,FALSE,0}</definedName>
    <definedName name="rrr" hidden="1">{0,#N/A,FALSE,0;0,#N/A,FALSE,0;0,#N/A,FALSE,0;0,#N/A,FALSE,0;0,#N/A,FALSE,0;0,#N/A,FALSE,0;0,#N/A,FALSE,0;0,#N/A,FALSE,0}</definedName>
    <definedName name="rrrrr" localSheetId="2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rrrrr" localSheetId="2" hidden="1">{#N/A,#N/A,FALSE,"Valuation Assumptions";#N/A,#N/A,FALSE,"Summary";#N/A,#N/A,FALSE,"DCF";#N/A,#N/A,FALSE,"Valuation";#N/A,#N/A,FALSE,"WACC";#N/A,#N/A,FALSE,"UBVH";#N/A,#N/A,FALSE,"Free Cash Flow"}</definedName>
    <definedName name="rrrrrr" hidden="1">{#N/A,#N/A,FALSE,"Valuation Assumptions";#N/A,#N/A,FALSE,"Summary";#N/A,#N/A,FALSE,"DCF";#N/A,#N/A,FALSE,"Valuation";#N/A,#N/A,FALSE,"WACC";#N/A,#N/A,FALSE,"UBVH";#N/A,#N/A,FALSE,"Free Cash Flow"}</definedName>
    <definedName name="rrrrrrrrrrrrrrrrrrrrrrrr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rrrrrrrrrrrrrrrrrrrrrrrr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rs">#REF!</definedName>
    <definedName name="rsjhshfjhg" localSheetId="2" hidden="1">#REF!</definedName>
    <definedName name="rsjhshfjhg" hidden="1">#REF!</definedName>
    <definedName name="rt" localSheetId="2" hidden="1">{#N/A,#N/A,FALSE,"Aging Summary";#N/A,#N/A,FALSE,"Ratio Analysis";#N/A,#N/A,FALSE,"Test 120 Day Accts";#N/A,#N/A,FALSE,"Tickmarks"}</definedName>
    <definedName name="rt" hidden="1">{#N/A,#N/A,FALSE,"Aging Summary";#N/A,#N/A,FALSE,"Ratio Analysis";#N/A,#N/A,FALSE,"Test 120 Day Accts";#N/A,#N/A,FALSE,"Tickmarks"}</definedName>
    <definedName name="rtg" localSheetId="2" hidden="1">{"'Sheet1'!$A$1:$G$96","'Sheet1'!$A$1:$H$96"}</definedName>
    <definedName name="rtg" hidden="1">{"'Sheet1'!$A$1:$G$96","'Sheet1'!$A$1:$H$96"}</definedName>
    <definedName name="rtte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rty" localSheetId="2" hidden="1">{#N/A,#N/A,FALSE,"Aging Summary";#N/A,#N/A,FALSE,"Ratio Analysis";#N/A,#N/A,FALSE,"Test 120 Day Accts";#N/A,#N/A,FALSE,"Tickmarks"}</definedName>
    <definedName name="rty" hidden="1">{#N/A,#N/A,FALSE,"Aging Summary";#N/A,#N/A,FALSE,"Ratio Analysis";#N/A,#N/A,FALSE,"Test 120 Day Accts";#N/A,#N/A,FALSE,"Tickmarks"}</definedName>
    <definedName name="RUS_ИтогоКонПериода" hidden="1">#NAME?</definedName>
    <definedName name="RUS_ИтогоНачПериода" hidden="1">#NAME?</definedName>
    <definedName name="RUS_СКАмортизация" hidden="1">#NAME?</definedName>
    <definedName name="RUS_СКБУОстатСтоимостьСоц" hidden="1">#NAME?</definedName>
    <definedName name="RUS_СКДобАктивы" hidden="1">#NAME?</definedName>
    <definedName name="RUS_СКИстощение" hidden="1">#NAME?</definedName>
    <definedName name="RUS_СККапвложения" hidden="1">#NAME?</definedName>
    <definedName name="RUS_СКОС100" hidden="1">#NAME?</definedName>
    <definedName name="RUS_СКОС101" hidden="1">#NAME?</definedName>
    <definedName name="RUS_СКОС102" hidden="1">#NAME?</definedName>
    <definedName name="RUS_СКОС103" hidden="1">#NAME?</definedName>
    <definedName name="RUS_СКОС104" hidden="1">#NAME?</definedName>
    <definedName name="RUS_СКОС105" hidden="1">#NAME?</definedName>
    <definedName name="RUS_СКОС106" hidden="1">#NAME?</definedName>
    <definedName name="RUS_СКОС107" hidden="1">#NAME?</definedName>
    <definedName name="RUS_СКОС114" hidden="1">#NAME?</definedName>
    <definedName name="RUS_СНАмортизация" hidden="1">#NAME?</definedName>
    <definedName name="RUS_СНБУОстатСтоимостьСоц" hidden="1">#NAME?</definedName>
    <definedName name="RUS_СНДобАктивы" hidden="1">#NAME?</definedName>
    <definedName name="RUS_СНИстощение" hidden="1">#NAME?</definedName>
    <definedName name="RUS_СНКапвложения" hidden="1">#NAME?</definedName>
    <definedName name="RUS_СНОС100" hidden="1">#NAME?</definedName>
    <definedName name="RUS_СНОС101" hidden="1">#NAME?</definedName>
    <definedName name="RUS_СНОС102" hidden="1">#NAME?</definedName>
    <definedName name="RUS_СНОС103" hidden="1">#NAME?</definedName>
    <definedName name="RUS_СНОС104" hidden="1">#NAME?</definedName>
    <definedName name="RUS_СНОС105" hidden="1">#NAME?</definedName>
    <definedName name="RUS_СНОС106" hidden="1">#NAME?</definedName>
    <definedName name="RUS_СНОС107" hidden="1">#NAME?</definedName>
    <definedName name="RUS_СНОС114" hidden="1">#NAME?</definedName>
    <definedName name="RUSP_LHEADER" localSheetId="2">#REF!</definedName>
    <definedName name="RUSP_LHEADER">#REF!</definedName>
    <definedName name="RUSSIANBS" localSheetId="2">#REF!</definedName>
    <definedName name="RUSSIANBS">#REF!</definedName>
    <definedName name="RUSSIANP_L" localSheetId="2">#REF!</definedName>
    <definedName name="RUSSIANP_L">#REF!</definedName>
    <definedName name="Rwvu.Для._.И.М..">#REF!,#REF!,#REF!,#REF!,#REF!,#REF!,#REF!,#REF!,#REF!,#REF!,#REF!,#REF!</definedName>
    <definedName name="Rwvu.Ревизорам.">#REF!,#REF!,#REF!,#REF!,#REF!,#REF!,#REF!,#REF!,#REF!,#REF!,#REF!,#REF!,#REF!</definedName>
    <definedName name="ryazan" localSheetId="2">#REF!</definedName>
    <definedName name="ryazan">#REF!</definedName>
    <definedName name="s" localSheetId="2" hidden="1">{#N/A,#N/A,FALSE,"Aging Summary";#N/A,#N/A,FALSE,"Ratio Analysis";#N/A,#N/A,FALSE,"Test 120 Day Accts";#N/A,#N/A,FALSE,"Tickmarks"}</definedName>
    <definedName name="s" hidden="1">{#N/A,#N/A,FALSE,"Aging Summary";#N/A,#N/A,FALSE,"Ratio Analysis";#N/A,#N/A,FALSE,"Test 120 Day Accts";#N/A,#N/A,FALSE,"Tickmarks"}</definedName>
    <definedName name="S_NAME" localSheetId="2" hidden="1">#REF!</definedName>
    <definedName name="S_NAME">#REF!</definedName>
    <definedName name="sadf" localSheetId="2" hidden="1">{"mgmt forecast",#N/A,FALSE,"Mgmt Forecast";"dcf table",#N/A,FALSE,"Mgmt Forecast";"sensitivity",#N/A,FALSE,"Mgmt Forecast";"table inputs",#N/A,FALSE,"Mgmt Forecast";"calculations",#N/A,FALSE,"Mgmt Forecast"}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mara" localSheetId="2">#REF!</definedName>
    <definedName name="samara">#REF!</definedName>
    <definedName name="Sample">#REF!</definedName>
    <definedName name="SampleEng">#REF!</definedName>
    <definedName name="SampleRus">#REF!</definedName>
    <definedName name="SAPBEXhrIndnt" hidden="1">"Wide"</definedName>
    <definedName name="SAPBEXrevision">1</definedName>
    <definedName name="SAPBEXsysID">"BWQ"</definedName>
    <definedName name="SAPBEXwbID">"4ADOR9W9HLVGUYDRBO4FLZZSX"</definedName>
    <definedName name="SAPFuncF4Help" localSheetId="1" hidden="1">MAIN.SAPF4HELP()</definedName>
    <definedName name="SAPFuncF4Help" localSheetId="2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rat" localSheetId="2">#REF!</definedName>
    <definedName name="sarat">#REF!</definedName>
    <definedName name="SaveData" localSheetId="2">#REF!</definedName>
    <definedName name="SaveData">#REF!</definedName>
    <definedName name="sawd">{#N/A,#N/A,FALSE,"NBU rates 1999"}</definedName>
    <definedName name="ScopeOfResp_1">#REF!</definedName>
    <definedName name="ScopeOfResp_2">#REF!</definedName>
    <definedName name="ScopeOfResp_3">#REF!</definedName>
    <definedName name="SD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d" localSheetId="2" hidden="1">{"'Sheet1'!$A$1:$G$96","'Sheet1'!$A$1:$H$96"}</definedName>
    <definedName name="sdd" hidden="1">{"'Sheet1'!$A$1:$G$96","'Sheet1'!$A$1:$H$96"}</definedName>
    <definedName name="sdf">#REF!</definedName>
    <definedName name="sdfa">#REF!</definedName>
    <definedName name="sdfds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h" localSheetId="2" hidden="1">{"'Sheet1'!$A$1:$G$85"}</definedName>
    <definedName name="sdfh" hidden="1">{"'Sheet1'!$A$1:$G$85"}</definedName>
    <definedName name="sdfwerq" hidden="1">#NAME?</definedName>
    <definedName name="SDS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ss">#REF!</definedName>
    <definedName name="sdtrshjsrtj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dtrshjsrt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ec">#REF!</definedName>
    <definedName name="Security">#REF!</definedName>
    <definedName name="sencount">1</definedName>
    <definedName name="sens" localSheetId="2" hidden="1">{"'Sheet1'!$A$12:$K$107"}</definedName>
    <definedName name="sens" hidden="1">{"'Sheet1'!$A$12:$K$107"}</definedName>
    <definedName name="Sentjur">{"'CVB-Zinssatz Akt'!$A$2:$M$10","'CVB Ist'!$C$35:$O$37"}</definedName>
    <definedName name="sep" localSheetId="2">#REF!</definedName>
    <definedName name="sep">#REF!</definedName>
    <definedName name="serhsthj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serhsthj" hidden="1">{#N/A,#N/A,FALSE,"INPUTS";#N/A,#N/A,FALSE,"PROFORMA BSHEET";#N/A,#N/A,FALSE,"COMBINED";#N/A,#N/A,FALSE,"ACQUIROR";#N/A,#N/A,FALSE,"TARGET 1";#N/A,#N/A,FALSE,"TARGET 2";#N/A,#N/A,FALSE,"HIGH YIELD";#N/A,#N/A,FALSE,"OVERFUND"}</definedName>
    <definedName name="Service">{"'CVB-Zinssatz Akt'!$A$2:$M$10","'CVB Ist'!$C$35:$O$37"}</definedName>
    <definedName name="Service2">{"'CVB-Zinssatz Akt'!$A$2:$M$10","'CVB Ist'!$C$35:$O$37"}</definedName>
    <definedName name="Service2A">{"'CVB-Zinssatz Akt'!$A$2:$M$10","'CVB Ist'!$C$35:$O$37"}</definedName>
    <definedName name="ServiceB">{"'CVB-Zinssatz Akt'!$A$2:$M$10","'CVB Ist'!$C$35:$O$37"}</definedName>
    <definedName name="sf">{#N/A,#N/A,FALSE,"Лист15"}</definedName>
    <definedName name="sfdharghesrh" localSheetId="2" hidden="1">{#N/A,#N/A,FALSE,"Valuation Assumptions";#N/A,#N/A,FALSE,"Summary";#N/A,#N/A,FALSE,"DCF";#N/A,#N/A,FALSE,"Valuation";#N/A,#N/A,FALSE,"WACC";#N/A,#N/A,FALSE,"UBVH";#N/A,#N/A,FALSE,"Free Cash Flow"}</definedName>
    <definedName name="sfdharghesrh" hidden="1">{#N/A,#N/A,FALSE,"Valuation Assumptions";#N/A,#N/A,FALSE,"Summary";#N/A,#N/A,FALSE,"DCF";#N/A,#N/A,FALSE,"Valuation";#N/A,#N/A,FALSE,"WACC";#N/A,#N/A,FALSE,"UBVH";#N/A,#N/A,FALSE,"Free Cash Flow"}</definedName>
    <definedName name="sfdsdf" localSheetId="2" hidden="1">{"баланс",#N/A,TRUE,"Баланс  на  декабрь"}</definedName>
    <definedName name="sfdsdf" hidden="1">{"баланс",#N/A,TRUE,"Баланс  на  декабрь"}</definedName>
    <definedName name="sfghdsgjms" localSheetId="2" hidden="1">{#N/A,#N/A,FALSE,"ACQ_GRAPHS";#N/A,#N/A,FALSE,"T_1 GRAPHS";#N/A,#N/A,FALSE,"T_2 GRAPHS";#N/A,#N/A,FALSE,"COMB_GRAPHS"}</definedName>
    <definedName name="sfghdsgjms" hidden="1">{#N/A,#N/A,FALSE,"ACQ_GRAPHS";#N/A,#N/A,FALSE,"T_1 GRAPHS";#N/A,#N/A,FALSE,"T_2 GRAPHS";#N/A,#N/A,FALSE,"COMB_GRAPHS"}</definedName>
    <definedName name="sfghsgjshk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fghsgjshk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fghsmsmsg" localSheetId="2" hidden="1">{#N/A,#N/A,FALSE,"ACQ_GRAPHS";#N/A,#N/A,FALSE,"T_1 GRAPHS";#N/A,#N/A,FALSE,"T_2 GRAPHS";#N/A,#N/A,FALSE,"COMB_GRAPHS"}</definedName>
    <definedName name="sfghsmsmsg" hidden="1">{#N/A,#N/A,FALSE,"ACQ_GRAPHS";#N/A,#N/A,FALSE,"T_1 GRAPHS";#N/A,#N/A,FALSE,"T_2 GRAPHS";#N/A,#N/A,FALSE,"COMB_GRAPHS"}</definedName>
    <definedName name="sfthsthstrhsth" localSheetId="2" hidden="1">{#N/A,#N/A,FALSE,"ACQ_GRAPHS";#N/A,#N/A,FALSE,"T_1 GRAPHS";#N/A,#N/A,FALSE,"T_2 GRAPHS";#N/A,#N/A,FALSE,"COMB_GRAPHS"}</definedName>
    <definedName name="sfthsthstrhsth" hidden="1">{#N/A,#N/A,FALSE,"ACQ_GRAPHS";#N/A,#N/A,FALSE,"T_1 GRAPHS";#N/A,#N/A,FALSE,"T_2 GRAPHS";#N/A,#N/A,FALSE,"COMB_GRAPHS"}</definedName>
    <definedName name="sghsrthsrthsrt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ghsrthsrthsr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ghsrthsrtj" localSheetId="2" hidden="1">{#N/A,#N/A,FALSE,"ACQ_GRAPHS";#N/A,#N/A,FALSE,"T_1 GRAPHS";#N/A,#N/A,FALSE,"T_2 GRAPHS";#N/A,#N/A,FALSE,"COMB_GRAPHS"}</definedName>
    <definedName name="sghsrthsrtj" hidden="1">{#N/A,#N/A,FALSE,"ACQ_GRAPHS";#N/A,#N/A,FALSE,"T_1 GRAPHS";#N/A,#N/A,FALSE,"T_2 GRAPHS";#N/A,#N/A,FALSE,"COMB_GRAPHS"}</definedName>
    <definedName name="sgjsgjsgj" localSheetId="2" hidden="1">{#N/A,#N/A,FALSE,"Valuation Assumptions";#N/A,#N/A,FALSE,"Summary";#N/A,#N/A,FALSE,"DCF";#N/A,#N/A,FALSE,"Valuation";#N/A,#N/A,FALSE,"WACC";#N/A,#N/A,FALSE,"UBVH";#N/A,#N/A,FALSE,"Free Cash Flow"}</definedName>
    <definedName name="sgjsgjsgj" hidden="1">{#N/A,#N/A,FALSE,"Valuation Assumptions";#N/A,#N/A,FALSE,"Summary";#N/A,#N/A,FALSE,"DCF";#N/A,#N/A,FALSE,"Valuation";#N/A,#N/A,FALSE,"WACC";#N/A,#N/A,FALSE,"UBVH";#N/A,#N/A,FALSE,"Free Cash Flow"}</definedName>
    <definedName name="sgjshksts" localSheetId="2" hidden="1">{#N/A,#N/A,FALSE,"INPUTS";#N/A,#N/A,FALSE,"PROFORMA BSHEET";#N/A,#N/A,FALSE,"COMBINED";#N/A,#N/A,FALSE,"HIGH YIELD";#N/A,#N/A,FALSE,"COMB_GRAPHS"}</definedName>
    <definedName name="sgjshksts" hidden="1">{#N/A,#N/A,FALSE,"INPUTS";#N/A,#N/A,FALSE,"PROFORMA BSHEET";#N/A,#N/A,FALSE,"COMBINED";#N/A,#N/A,FALSE,"HIGH YIELD";#N/A,#N/A,FALSE,"COMB_GRAPHS"}</definedName>
    <definedName name="sgjsrtj" localSheetId="2" hidden="1">{#N/A,#N/A,FALSE,"ACQ_GRAPHS";#N/A,#N/A,FALSE,"T_1 GRAPHS";#N/A,#N/A,FALSE,"T_2 GRAPHS";#N/A,#N/A,FALSE,"COMB_GRAPHS"}</definedName>
    <definedName name="sgjsrtj" hidden="1">{#N/A,#N/A,FALSE,"ACQ_GRAPHS";#N/A,#N/A,FALSE,"T_1 GRAPHS";#N/A,#N/A,FALSE,"T_2 GRAPHS";#N/A,#N/A,FALSE,"COMB_GRAPHS"}</definedName>
    <definedName name="sgjsrtjn" localSheetId="2" hidden="1">{#N/A,#N/A,FALSE,"Valuation Assumptions";#N/A,#N/A,FALSE,"Summary";#N/A,#N/A,FALSE,"DCF";#N/A,#N/A,FALSE,"Valuation";#N/A,#N/A,FALSE,"WACC";#N/A,#N/A,FALSE,"UBVH";#N/A,#N/A,FALSE,"Free Cash Flow"}</definedName>
    <definedName name="sgjsrtjn" hidden="1">{#N/A,#N/A,FALSE,"Valuation Assumptions";#N/A,#N/A,FALSE,"Summary";#N/A,#N/A,FALSE,"DCF";#N/A,#N/A,FALSE,"Valuation";#N/A,#N/A,FALSE,"WACC";#N/A,#N/A,FALSE,"UBVH";#N/A,#N/A,FALSE,"Free Cash Flow"}</definedName>
    <definedName name="sgjsyjk" localSheetId="2" hidden="1">{#N/A,#N/A,FALSE,"INPUTS";#N/A,#N/A,FALSE,"PROFORMA BSHEET";#N/A,#N/A,FALSE,"COMBINED";#N/A,#N/A,FALSE,"HIGH YIELD";#N/A,#N/A,FALSE,"COMB_GRAPHS"}</definedName>
    <definedName name="sgjsyjk" hidden="1">{#N/A,#N/A,FALSE,"INPUTS";#N/A,#N/A,FALSE,"PROFORMA BSHEET";#N/A,#N/A,FALSE,"COMBINED";#N/A,#N/A,FALSE,"HIGH YIELD";#N/A,#N/A,FALSE,"COMB_GRAPHS"}</definedName>
    <definedName name="Sh_Loan_Currency">#NAME?</definedName>
    <definedName name="share" localSheetId="2">#REF!</definedName>
    <definedName name="share">#REF!</definedName>
    <definedName name="share_liabilities" localSheetId="2">#REF!</definedName>
    <definedName name="share_liabilities">#REF!</definedName>
    <definedName name="SHARECAPITAL" localSheetId="2">#REF!</definedName>
    <definedName name="SHARECAPITAL">#REF!</definedName>
    <definedName name="SHARED_FORMULA_28">#N/A</definedName>
    <definedName name="SHARED_FORMULA_36">#N/A</definedName>
    <definedName name="Shift">#REF!</definedName>
    <definedName name="SHIT" localSheetId="2" hidden="1">{"balance sheet",#N/A,FALSE,"balance sheet";#N/A,#N/A,FALSE,"income stmt (YTD)";"income stmt",#N/A,FALSE,"income stmt ";"cash flow YTD",#N/A,FALSE,"cash flow (YTD)";"cash flow",#N/A,FALSE,"cash flow "}</definedName>
    <definedName name="SHIT" hidden="1">{"balance sheet",#N/A,FALSE,"balance sheet";#N/A,#N/A,FALSE,"income stmt (YTD)";"income stmt",#N/A,FALSE,"income stmt ";"cash flow YTD",#N/A,FALSE,"cash flow (YTD)";"cash flow",#N/A,FALSE,"cash flow "}</definedName>
    <definedName name="shkshkshks" localSheetId="2" hidden="1">{#N/A,#N/A,FALSE,"ACQ_GRAPHS";#N/A,#N/A,FALSE,"T_1 GRAPHS";#N/A,#N/A,FALSE,"T_2 GRAPHS";#N/A,#N/A,FALSE,"COMB_GRAPHS"}</definedName>
    <definedName name="shkshkshks" hidden="1">{#N/A,#N/A,FALSE,"ACQ_GRAPHS";#N/A,#N/A,FALSE,"T_1 GRAPHS";#N/A,#N/A,FALSE,"T_2 GRAPHS";#N/A,#N/A,FALSE,"COMB_GRAPHS"}</definedName>
    <definedName name="shsdrtjhsdrt" localSheetId="2" hidden="1">{#N/A,#N/A,FALSE,"Valuation Assumptions";#N/A,#N/A,FALSE,"Summary";#N/A,#N/A,FALSE,"DCF";#N/A,#N/A,FALSE,"Valuation";#N/A,#N/A,FALSE,"WACC";#N/A,#N/A,FALSE,"UBVH";#N/A,#N/A,FALSE,"Free Cash Flow"}</definedName>
    <definedName name="shsdrtjhsdrt" hidden="1">{#N/A,#N/A,FALSE,"Valuation Assumptions";#N/A,#N/A,FALSE,"Summary";#N/A,#N/A,FALSE,"DCF";#N/A,#N/A,FALSE,"Valuation";#N/A,#N/A,FALSE,"WACC";#N/A,#N/A,FALSE,"UBVH";#N/A,#N/A,FALSE,"Free Cash Flow"}</definedName>
    <definedName name="shsthsrthsrth" localSheetId="2" hidden="1">{"vi1",#N/A,FALSE,"Financial Statements";"vi2",#N/A,FALSE,"Financial Statements";#N/A,#N/A,FALSE,"DCF"}</definedName>
    <definedName name="shsthsrthsrth" hidden="1">{"vi1",#N/A,FALSE,"Financial Statements";"vi2",#N/A,FALSE,"Financial Statements";#N/A,#N/A,FALSE,"DCF"}</definedName>
    <definedName name="SIBRA">#REF!</definedName>
    <definedName name="SIBRB">#REF!</definedName>
    <definedName name="SIBRC">#REF!</definedName>
    <definedName name="SIBRD">#REF!</definedName>
    <definedName name="SIBRE">#REF!</definedName>
    <definedName name="SIBRF">#REF!</definedName>
    <definedName name="SIBRG">#REF!</definedName>
    <definedName name="SIBRH">#REF!</definedName>
    <definedName name="SIBRI">#REF!</definedName>
    <definedName name="SIBRS">#REF!</definedName>
    <definedName name="Size">#REF!</definedName>
    <definedName name="Size1">#REF!</definedName>
    <definedName name="sjdjsrtjas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sjdjsrtjas" hidden="1">{#N/A,#N/A,FALSE,"INPUTS";#N/A,#N/A,FALSE,"PROFORMA BSHEET";#N/A,#N/A,FALSE,"COMBINED";#N/A,#N/A,FALSE,"ACQUIROR";#N/A,#N/A,FALSE,"TARGET 1";#N/A,#N/A,FALSE,"TARGET 2";#N/A,#N/A,FALSE,"HIGH YIELD";#N/A,#N/A,FALSE,"OVERFUND"}</definedName>
    <definedName name="sjksgjj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jksgj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jsjr" localSheetId="2" hidden="1">{#N/A,#N/A,FALSE,"INPUTS";#N/A,#N/A,FALSE,"PROFORMA BSHEET";#N/A,#N/A,FALSE,"COMBINED";#N/A,#N/A,FALSE,"HIGH YIELD";#N/A,#N/A,FALSE,"COMB_GRAPHS"}</definedName>
    <definedName name="sjsjr" hidden="1">{#N/A,#N/A,FALSE,"INPUTS";#N/A,#N/A,FALSE,"PROFORMA BSHEET";#N/A,#N/A,FALSE,"COMBINED";#N/A,#N/A,FALSE,"HIGH YIELD";#N/A,#N/A,FALSE,"COMB_GRAPHS"}</definedName>
    <definedName name="sjsjsrtjs" localSheetId="2" hidden="1">{#N/A,#N/A,FALSE,"INPUTS";#N/A,#N/A,FALSE,"PROFORMA BSHEET";#N/A,#N/A,FALSE,"COMBINED";#N/A,#N/A,FALSE,"HIGH YIELD";#N/A,#N/A,FALSE,"COMB_GRAPHS"}</definedName>
    <definedName name="sjsjsrtjs" hidden="1">{#N/A,#N/A,FALSE,"INPUTS";#N/A,#N/A,FALSE,"PROFORMA BSHEET";#N/A,#N/A,FALSE,"COMBINED";#N/A,#N/A,FALSE,"HIGH YIELD";#N/A,#N/A,FALSE,"COMB_GRAPHS"}</definedName>
    <definedName name="sjsrthsrtnds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sjsrthsrtnds" hidden="1">{#N/A,#N/A,FALSE,"INPUTS";#N/A,#N/A,FALSE,"PROFORMA BSHEET";#N/A,#N/A,FALSE,"COMBINED";#N/A,#N/A,FALSE,"ACQUIROR";#N/A,#N/A,FALSE,"TARGET 1";#N/A,#N/A,FALSE,"TARGET 2";#N/A,#N/A,FALSE,"HIGH YIELD";#N/A,#N/A,FALSE,"OVERFUND"}</definedName>
    <definedName name="skdjfh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IP_J2">#REF!</definedName>
    <definedName name="skstysjs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skstysjs" hidden="1">{#N/A,#N/A,FALSE,"INPUTS";#N/A,#N/A,FALSE,"PROFORMA BSHEET";#N/A,#N/A,FALSE,"COMBINED";#N/A,#N/A,FALSE,"ACQUIROR";#N/A,#N/A,FALSE,"TARGET 1";#N/A,#N/A,FALSE,"TARGET 2";#N/A,#N/A,FALSE,"HIGH YIELD";#N/A,#N/A,FALSE,"OVERFUND"}</definedName>
    <definedName name="slo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>#REF!</definedName>
    <definedName name="snsfgsghas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nsfgsgha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oft" localSheetId="2" hidden="1">{"det (May)",#N/A,FALSE,"June";"sum (MAY YTD)",#N/A,FALSE,"June YTD"}</definedName>
    <definedName name="Soft">#REF!</definedName>
    <definedName name="solver_adj" localSheetId="2" hidden="1">#REF!</definedName>
    <definedName name="solver_adj">#REF!</definedName>
    <definedName name="solver_cvg">0.0001</definedName>
    <definedName name="solver_drv">1</definedName>
    <definedName name="solver_est">1</definedName>
    <definedName name="solver_itr">100</definedName>
    <definedName name="solver_lhs1" localSheetId="2" hidden="1">#REF!</definedName>
    <definedName name="solver_lhs1" hidden="1">#REF!</definedName>
    <definedName name="solver_lhs2" localSheetId="2" hidden="1">#REF!</definedName>
    <definedName name="solver_lhs2" hidden="1">#REF!</definedName>
    <definedName name="solver_lhs4" localSheetId="2" hidden="1">#REF!</definedName>
    <definedName name="solver_lhs4" hidden="1">#REF!</definedName>
    <definedName name="solver_lhs5" hidden="1">#REF!</definedName>
    <definedName name="solver_lhs6" hidden="1">#REF!</definedName>
    <definedName name="solver_lin" localSheetId="2" hidden="1">2</definedName>
    <definedName name="solver_lin">0</definedName>
    <definedName name="solver_neg">2</definedName>
    <definedName name="solver_num">0</definedName>
    <definedName name="solver_nwt">1</definedName>
    <definedName name="solver_opt" localSheetId="2" hidden="1">#REF!</definedName>
    <definedName name="solver_opt">#REF!</definedName>
    <definedName name="solver_pre">0.000001</definedName>
    <definedName name="solver_rel1" hidden="1">2</definedName>
    <definedName name="solver_rel2" hidden="1">3</definedName>
    <definedName name="solver_rel3" hidden="1">3</definedName>
    <definedName name="solver_rel4" hidden="1">3</definedName>
    <definedName name="solver_rel5" hidden="1">3</definedName>
    <definedName name="solver_rel6" hidden="1">3</definedName>
    <definedName name="solver_rhs1" hidden="1">3600</definedName>
    <definedName name="solver_rhs2" hidden="1">9770</definedName>
    <definedName name="solver_rhs3" hidden="1">660</definedName>
    <definedName name="solver_rhs4" hidden="1">5320</definedName>
    <definedName name="solver_rhs5" hidden="1">214</definedName>
    <definedName name="solver_rhs6" hidden="1">350</definedName>
    <definedName name="solver_scl">2</definedName>
    <definedName name="solver_sho">2</definedName>
    <definedName name="solver_tim">100</definedName>
    <definedName name="solver_tmp" hidden="1">350</definedName>
    <definedName name="solver_tol">0.05</definedName>
    <definedName name="solver_typ">3</definedName>
    <definedName name="solver_val">0</definedName>
    <definedName name="SOTCHNED">#REF!</definedName>
    <definedName name="SP">#REF!</definedName>
    <definedName name="spb" localSheetId="2">#REF!</definedName>
    <definedName name="spb">#REF!</definedName>
    <definedName name="spk" localSheetId="2" hidden="1">{#N/A,#N/A,FALSE,"Assumptions";#N/A,#N/A,FALSE,"Volumes";#N/A,#N/A,FALSE,"Pricing";#N/A,#N/A,FALSE,"Variable Cost";#N/A,#N/A,FALSE,"Investment";#N/A,#N/A,FALSE,"Profitability";#N/A,#N/A,FALSE,"Business Comparison"}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preadsheetBuilder_1" hidden="1">#REF!</definedName>
    <definedName name="SpreadsheetBuilder_2" hidden="1">#REF!</definedName>
    <definedName name="SpreadsheetBuilder_3" hidden="1">#REF!</definedName>
    <definedName name="SQL" localSheetId="2">#REF!</definedName>
    <definedName name="SQL">#REF!</definedName>
    <definedName name="sreserhst" localSheetId="2" hidden="1">{#N/A,#N/A,FALSE,"INPUTS";#N/A,#N/A,FALSE,"PROFORMA BSHEET";#N/A,#N/A,FALSE,"COMBINED";#N/A,#N/A,FALSE,"HIGH YIELD";#N/A,#N/A,FALSE,"COMB_GRAPHS"}</definedName>
    <definedName name="sreserhst" hidden="1">{#N/A,#N/A,FALSE,"INPUTS";#N/A,#N/A,FALSE,"PROFORMA BSHEET";#N/A,#N/A,FALSE,"COMBINED";#N/A,#N/A,FALSE,"HIGH YIELD";#N/A,#N/A,FALSE,"COMB_GRAPHS"}</definedName>
    <definedName name="srgjsgjsjs" localSheetId="2" hidden="1">{#N/A,#N/A,FALSE,"ACQ_GRAPHS";#N/A,#N/A,FALSE,"T_1 GRAPHS";#N/A,#N/A,FALSE,"T_2 GRAPHS";#N/A,#N/A,FALSE,"COMB_GRAPHS"}</definedName>
    <definedName name="srgjsgjsjs" hidden="1">{#N/A,#N/A,FALSE,"ACQ_GRAPHS";#N/A,#N/A,FALSE,"T_1 GRAPHS";#N/A,#N/A,FALSE,"T_2 GRAPHS";#N/A,#N/A,FALSE,"COMB_GRAPHS"}</definedName>
    <definedName name="srgjsrg" localSheetId="2" hidden="1">{"vi1",#N/A,FALSE,"Financial Statements";"vi2",#N/A,FALSE,"Financial Statements";#N/A,#N/A,FALSE,"DCF"}</definedName>
    <definedName name="srgjsrg" hidden="1">{"vi1",#N/A,FALSE,"Financial Statements";"vi2",#N/A,FALSE,"Financial Statements";#N/A,#N/A,FALSE,"DCF"}</definedName>
    <definedName name="srhser" localSheetId="2" hidden="1">{#N/A,#N/A,FALSE,"ACQ_GRAPHS";#N/A,#N/A,FALSE,"T_1 GRAPHS";#N/A,#N/A,FALSE,"T_2 GRAPHS";#N/A,#N/A,FALSE,"COMB_GRAPHS"}</definedName>
    <definedName name="srhser" hidden="1">{#N/A,#N/A,FALSE,"ACQ_GRAPHS";#N/A,#N/A,FALSE,"T_1 GRAPHS";#N/A,#N/A,FALSE,"T_2 GRAPHS";#N/A,#N/A,FALSE,"COMB_GRAPHS"}</definedName>
    <definedName name="srhsjsrtjs" localSheetId="2" hidden="1">{#N/A,#N/A,FALSE,"ACQ_GRAPHS";#N/A,#N/A,FALSE,"T_1 GRAPHS";#N/A,#N/A,FALSE,"T_2 GRAPHS";#N/A,#N/A,FALSE,"COMB_GRAPHS"}</definedName>
    <definedName name="srhsjsrtjs" hidden="1">{#N/A,#N/A,FALSE,"ACQ_GRAPHS";#N/A,#N/A,FALSE,"T_1 GRAPHS";#N/A,#N/A,FALSE,"T_2 GRAPHS";#N/A,#N/A,FALSE,"COMB_GRAPHS"}</definedName>
    <definedName name="srjgjsrjg" localSheetId="2" hidden="1">{"vi1",#N/A,FALSE,"Financial Statements";"vi2",#N/A,FALSE,"Financial Statements";#N/A,#N/A,FALSE,"DCF"}</definedName>
    <definedName name="srjgjsrjg" hidden="1">{"vi1",#N/A,FALSE,"Financial Statements";"vi2",#N/A,FALSE,"Financial Statements";#N/A,#N/A,FALSE,"DCF"}</definedName>
    <definedName name="srnsgjsj" localSheetId="2" hidden="1">{"vi1",#N/A,FALSE,"Financial Statements";"vi2",#N/A,FALSE,"Financial Statements";#N/A,#N/A,FALSE,"DCF"}</definedName>
    <definedName name="srnsgjsj" hidden="1">{"vi1",#N/A,FALSE,"Financial Statements";"vi2",#N/A,FALSE,"Financial Statements";#N/A,#N/A,FALSE,"DCF"}</definedName>
    <definedName name="srtjsrtjsrt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srtjsrtjsrt" hidden="1">{#N/A,#N/A,FALSE,"INPUTS";#N/A,#N/A,FALSE,"PROFORMA BSHEET";#N/A,#N/A,FALSE,"COMBINED";#N/A,#N/A,FALSE,"ACQUIROR";#N/A,#N/A,FALSE,"TARGET 1";#N/A,#N/A,FALSE,"TARGET 2";#N/A,#N/A,FALSE,"HIGH YIELD";#N/A,#N/A,FALSE,"OVERFUND"}</definedName>
    <definedName name="srtjsrtjsrtjs" localSheetId="2" hidden="1">{#N/A,#N/A,FALSE,"ACQ_GRAPHS";#N/A,#N/A,FALSE,"T_1 GRAPHS";#N/A,#N/A,FALSE,"T_2 GRAPHS";#N/A,#N/A,FALSE,"COMB_GRAPHS"}</definedName>
    <definedName name="srtjsrtjsrtjs" hidden="1">{#N/A,#N/A,FALSE,"ACQ_GRAPHS";#N/A,#N/A,FALSE,"T_1 GRAPHS";#N/A,#N/A,FALSE,"T_2 GRAPHS";#N/A,#N/A,FALSE,"COMB_GRAPHS"}</definedName>
    <definedName name="ss" localSheetId="2" hidden="1">{#N/A,#N/A,TRUE,"DCF Summary";#N/A,#N/A,TRUE,"Casema";#N/A,#N/A,TRUE,"UK";#N/A,#N/A,TRUE,"RCF";#N/A,#N/A,TRUE,"Intercable CZ";#N/A,#N/A,TRUE,"Interkabel P";#N/A,#N/A,TRUE,"LBO-Total";#N/A,#N/A,TRUE,"LBO-Casema"}</definedName>
    <definedName name="ss" hidden="1">{#N/A,#N/A,TRUE,"DCF Summary";#N/A,#N/A,TRUE,"Casema";#N/A,#N/A,TRUE,"UK";#N/A,#N/A,TRUE,"RCF";#N/A,#N/A,TRUE,"Intercable CZ";#N/A,#N/A,TRUE,"Interkabel P";#N/A,#N/A,TRUE,"LBO-Total";#N/A,#N/A,TRUE,"LBO-Casema"}</definedName>
    <definedName name="sss" localSheetId="2" hidden="1">{#N/A,#N/A,TRUE,"DCF Summary";#N/A,#N/A,TRUE,"Casema";#N/A,#N/A,TRUE,"UK";#N/A,#N/A,TRUE,"RCF";#N/A,#N/A,TRUE,"Intercable CZ";#N/A,#N/A,TRUE,"Interkabel P";#N/A,#N/A,TRUE,"LBO-Total";#N/A,#N/A,TRUE,"LBO-Casema"}</definedName>
    <definedName name="sss" hidden="1">{#N/A,#N/A,TRUE,"DCF Summary";#N/A,#N/A,TRUE,"Casema";#N/A,#N/A,TRUE,"UK";#N/A,#N/A,TRUE,"RCF";#N/A,#N/A,TRUE,"Intercable CZ";#N/A,#N/A,TRUE,"Interkabel P";#N/A,#N/A,TRUE,"LBO-Total";#N/A,#N/A,TRUE,"LBO-Casema"}</definedName>
    <definedName name="sssssss" localSheetId="2" hidden="1">{"Страница 1",#N/A,FALSE,"Модель Интенсивника";"Страница 3",#N/A,FALSE,"Модель Интенсивника"}</definedName>
    <definedName name="sssssss" hidden="1">{"Страница 1",#N/A,FALSE,"Модель Интенсивника";"Страница 3",#N/A,FALSE,"Модель Интенсивника"}</definedName>
    <definedName name="ssssssssssss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ss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ssss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sssssssssssssss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ssw" localSheetId="2" hidden="1">{"'РП (2)'!$A$5:$S$150"}</definedName>
    <definedName name="ssw" hidden="1">{"'РП (2)'!$A$5:$S$150"}</definedName>
    <definedName name="Staff">#REF!</definedName>
    <definedName name="standard_raks" localSheetId="2" hidden="1">{"IMRAK42x8x8",#N/A,TRUE,"IMRAK 1400 42U 800X800";"IMRAK32x6x6",#N/A,TRUE,"IMRAK 1400 32U 600x600";"IMRAK42x12x8",#N/A,TRUE,"IMRAK 1400 42U 1200x800";"IMRAK15x6x4",#N/A,TRUE,"IMRAK 400 15U FRONT SECTION"}</definedName>
    <definedName name="standard_raks" hidden="1">{"IMRAK42x8x8",#N/A,TRUE,"IMRAK 1400 42U 800X800";"IMRAK32x6x6",#N/A,TRUE,"IMRAK 1400 32U 600x600";"IMRAK42x12x8",#N/A,TRUE,"IMRAK 1400 42U 1200x800";"IMRAK15x6x4",#N/A,TRUE,"IMRAK 400 15U FRONT SECTION"}</definedName>
    <definedName name="Start1" localSheetId="2">#REF!</definedName>
    <definedName name="Start1">#REF!</definedName>
    <definedName name="Start10" localSheetId="2">#REF!</definedName>
    <definedName name="Start10">#REF!</definedName>
    <definedName name="Start11" localSheetId="2">#REF!</definedName>
    <definedName name="Start11">#REF!</definedName>
    <definedName name="Start12">#REF!</definedName>
    <definedName name="Start13">#REF!</definedName>
    <definedName name="Start14">#REF!</definedName>
    <definedName name="Start15">#REF!</definedName>
    <definedName name="Start16">#REF!</definedName>
    <definedName name="Start17">#REF!</definedName>
    <definedName name="Start18">#REF!</definedName>
    <definedName name="Start2">#REF!</definedName>
    <definedName name="Start3">#REF!</definedName>
    <definedName name="Start4">#REF!</definedName>
    <definedName name="Start5">#REF!</definedName>
    <definedName name="Start6">#REF!</definedName>
    <definedName name="Start7">#REF!</definedName>
    <definedName name="Start8">#REF!</definedName>
    <definedName name="Start9">#REF!</definedName>
    <definedName name="STAT_1_FIO_A" localSheetId="2" hidden="1">#REF!</definedName>
    <definedName name="STAT_1_FIO_A" hidden="1">#REF!</definedName>
    <definedName name="STAT_1_FIO_B" localSheetId="2" hidden="1">#REF!</definedName>
    <definedName name="STAT_1_FIO_B" hidden="1">#REF!</definedName>
    <definedName name="STAT_1_S_1_10" localSheetId="2" hidden="1">#REF!</definedName>
    <definedName name="STAT_1_S_1_10" hidden="1">#REF!</definedName>
    <definedName name="STAT_1_S_1_12" hidden="1">#REF!</definedName>
    <definedName name="STAT_1_S_1_4" hidden="1">#REF!</definedName>
    <definedName name="STAT_1_S_1_5" hidden="1">#REF!</definedName>
    <definedName name="STAT_1_S_1_6" hidden="1">#REF!</definedName>
    <definedName name="STAT_1_S_1_7" hidden="1">#REF!</definedName>
    <definedName name="STAT_1_S_1_9" hidden="1">#REF!</definedName>
    <definedName name="STAT_1_S_10_10" hidden="1">#REF!</definedName>
    <definedName name="STAT_1_S_10_12" hidden="1">#REF!</definedName>
    <definedName name="STAT_1_S_10_4" hidden="1">#REF!</definedName>
    <definedName name="STAT_1_S_10_5" hidden="1">#REF!</definedName>
    <definedName name="STAT_1_S_10_6" hidden="1">#REF!</definedName>
    <definedName name="STAT_1_S_10_7" hidden="1">#REF!</definedName>
    <definedName name="STAT_1_S_10_9" hidden="1">#REF!</definedName>
    <definedName name="STAT_1_S_11_10" hidden="1">#REF!</definedName>
    <definedName name="STAT_1_S_11_12" hidden="1">#REF!</definedName>
    <definedName name="STAT_1_S_11_4" hidden="1">#REF!</definedName>
    <definedName name="STAT_1_S_11_5" hidden="1">#REF!</definedName>
    <definedName name="STAT_1_S_11_6" hidden="1">#REF!</definedName>
    <definedName name="STAT_1_S_11_7" hidden="1">#REF!</definedName>
    <definedName name="STAT_1_S_11_9" hidden="1">#REF!</definedName>
    <definedName name="STAT_1_S_12_10" hidden="1">#REF!</definedName>
    <definedName name="STAT_1_S_12_12" hidden="1">#REF!</definedName>
    <definedName name="STAT_1_S_12_4" hidden="1">#REF!</definedName>
    <definedName name="STAT_1_S_12_5" hidden="1">#REF!</definedName>
    <definedName name="STAT_1_S_12_6" hidden="1">#REF!</definedName>
    <definedName name="STAT_1_S_12_7" hidden="1">#REF!</definedName>
    <definedName name="STAT_1_S_12_9" hidden="1">#REF!</definedName>
    <definedName name="STAT_1_S_120_12" hidden="1">#REF!</definedName>
    <definedName name="STAT_1_S_121_12" hidden="1">#REF!</definedName>
    <definedName name="STAT_1_S_122_12" hidden="1">#REF!</definedName>
    <definedName name="STAT_1_S_13_10" hidden="1">#REF!</definedName>
    <definedName name="STAT_1_S_13_11" hidden="1">#REF!</definedName>
    <definedName name="STAT_1_S_13_12" hidden="1">#REF!</definedName>
    <definedName name="STAT_1_S_13_4" hidden="1">#REF!</definedName>
    <definedName name="STAT_1_S_13_5" hidden="1">#REF!</definedName>
    <definedName name="STAT_1_S_13_6" hidden="1">#REF!</definedName>
    <definedName name="STAT_1_S_13_7" hidden="1">#REF!</definedName>
    <definedName name="STAT_1_S_13_8" hidden="1">#REF!</definedName>
    <definedName name="STAT_1_S_13_9" hidden="1">#REF!</definedName>
    <definedName name="STAT_1_S_14_10" hidden="1">#REF!</definedName>
    <definedName name="STAT_1_S_14_12" hidden="1">#REF!</definedName>
    <definedName name="STAT_1_S_14_4" hidden="1">#REF!</definedName>
    <definedName name="STAT_1_S_14_5" hidden="1">#REF!</definedName>
    <definedName name="STAT_1_S_14_6" hidden="1">#REF!</definedName>
    <definedName name="STAT_1_S_14_7" hidden="1">#REF!</definedName>
    <definedName name="STAT_1_S_14_9" hidden="1">#REF!</definedName>
    <definedName name="STAT_1_S_15_10" hidden="1">#REF!</definedName>
    <definedName name="STAT_1_S_15_12" hidden="1">#REF!</definedName>
    <definedName name="STAT_1_S_15_4" hidden="1">#REF!</definedName>
    <definedName name="STAT_1_S_15_5" hidden="1">#REF!</definedName>
    <definedName name="STAT_1_S_15_6" hidden="1">#REF!</definedName>
    <definedName name="STAT_1_S_15_7" hidden="1">#REF!</definedName>
    <definedName name="STAT_1_S_15_9" hidden="1">#REF!</definedName>
    <definedName name="STAT_1_S_16_10" hidden="1">#REF!</definedName>
    <definedName name="STAT_1_S_16_12" hidden="1">#REF!</definedName>
    <definedName name="STAT_1_S_16_4" hidden="1">#REF!</definedName>
    <definedName name="STAT_1_S_16_5" hidden="1">#REF!</definedName>
    <definedName name="STAT_1_S_16_6" hidden="1">#REF!</definedName>
    <definedName name="STAT_1_S_16_7" hidden="1">#REF!</definedName>
    <definedName name="STAT_1_S_16_9" hidden="1">#REF!</definedName>
    <definedName name="STAT_1_S_17_10" hidden="1">#REF!</definedName>
    <definedName name="STAT_1_S_17_12" hidden="1">#REF!</definedName>
    <definedName name="STAT_1_S_17_4" hidden="1">#REF!</definedName>
    <definedName name="STAT_1_S_17_5" hidden="1">#REF!</definedName>
    <definedName name="STAT_1_S_17_6" hidden="1">#REF!</definedName>
    <definedName name="STAT_1_S_17_7" hidden="1">#REF!</definedName>
    <definedName name="STAT_1_S_17_9" hidden="1">#REF!</definedName>
    <definedName name="STAT_1_S_18_10" hidden="1">#REF!</definedName>
    <definedName name="STAT_1_S_18_12" hidden="1">#REF!</definedName>
    <definedName name="STAT_1_S_18_4" hidden="1">#REF!</definedName>
    <definedName name="STAT_1_S_18_5" hidden="1">#REF!</definedName>
    <definedName name="STAT_1_S_18_6" hidden="1">#REF!</definedName>
    <definedName name="STAT_1_S_18_7" hidden="1">#REF!</definedName>
    <definedName name="STAT_1_S_18_9" hidden="1">#REF!</definedName>
    <definedName name="STAT_1_S_19_10" hidden="1">#REF!</definedName>
    <definedName name="STAT_1_S_19_12" hidden="1">#REF!</definedName>
    <definedName name="STAT_1_S_19_4" hidden="1">#REF!</definedName>
    <definedName name="STAT_1_S_19_5" hidden="1">#REF!</definedName>
    <definedName name="STAT_1_S_19_6" hidden="1">#REF!</definedName>
    <definedName name="STAT_1_S_19_7" hidden="1">#REF!</definedName>
    <definedName name="STAT_1_S_19_9" hidden="1">#REF!</definedName>
    <definedName name="STAT_1_S_2_10" hidden="1">#REF!</definedName>
    <definedName name="STAT_1_S_2_12" hidden="1">#REF!</definedName>
    <definedName name="STAT_1_S_2_4" hidden="1">#REF!</definedName>
    <definedName name="STAT_1_S_2_5" hidden="1">#REF!</definedName>
    <definedName name="STAT_1_S_2_6" hidden="1">#REF!</definedName>
    <definedName name="STAT_1_S_2_7" hidden="1">#REF!</definedName>
    <definedName name="STAT_1_S_2_9" hidden="1">#REF!</definedName>
    <definedName name="STAT_1_S_20_10" hidden="1">#REF!</definedName>
    <definedName name="STAT_1_S_20_12" hidden="1">#REF!</definedName>
    <definedName name="STAT_1_S_20_4" hidden="1">#REF!</definedName>
    <definedName name="STAT_1_S_20_5" hidden="1">#REF!</definedName>
    <definedName name="STAT_1_S_20_6" hidden="1">#REF!</definedName>
    <definedName name="STAT_1_S_20_7" hidden="1">#REF!</definedName>
    <definedName name="STAT_1_S_20_9" hidden="1">#REF!</definedName>
    <definedName name="STAT_1_S_21_10" hidden="1">#REF!</definedName>
    <definedName name="STAT_1_S_21_12" hidden="1">#REF!</definedName>
    <definedName name="STAT_1_S_21_4" hidden="1">#REF!</definedName>
    <definedName name="STAT_1_S_21_5" hidden="1">#REF!</definedName>
    <definedName name="STAT_1_S_21_6" hidden="1">#REF!</definedName>
    <definedName name="STAT_1_S_21_7" hidden="1">#REF!</definedName>
    <definedName name="STAT_1_S_21_9" hidden="1">#REF!</definedName>
    <definedName name="STAT_1_S_22_10" hidden="1">#REF!</definedName>
    <definedName name="STAT_1_S_22_12" hidden="1">#REF!</definedName>
    <definedName name="STAT_1_S_22_4" hidden="1">#REF!</definedName>
    <definedName name="STAT_1_S_22_5" hidden="1">#REF!</definedName>
    <definedName name="STAT_1_S_22_6" hidden="1">#REF!</definedName>
    <definedName name="STAT_1_S_22_7" hidden="1">#REF!</definedName>
    <definedName name="STAT_1_S_22_9" hidden="1">#REF!</definedName>
    <definedName name="STAT_1_S_23_10" hidden="1">#REF!</definedName>
    <definedName name="STAT_1_S_23_12" hidden="1">#REF!</definedName>
    <definedName name="STAT_1_S_23_4" hidden="1">#REF!</definedName>
    <definedName name="STAT_1_S_23_5" hidden="1">#REF!</definedName>
    <definedName name="STAT_1_S_23_6" hidden="1">#REF!</definedName>
    <definedName name="STAT_1_S_23_7" hidden="1">#REF!</definedName>
    <definedName name="STAT_1_S_23_9" hidden="1">#REF!</definedName>
    <definedName name="STAT_1_S_24_10" hidden="1">#REF!</definedName>
    <definedName name="STAT_1_S_24_12" hidden="1">#REF!</definedName>
    <definedName name="STAT_1_S_24_4" hidden="1">#REF!</definedName>
    <definedName name="STAT_1_S_24_5" hidden="1">#REF!</definedName>
    <definedName name="STAT_1_S_24_6" hidden="1">#REF!</definedName>
    <definedName name="STAT_1_S_24_7" hidden="1">#REF!</definedName>
    <definedName name="STAT_1_S_24_9" hidden="1">#REF!</definedName>
    <definedName name="STAT_1_S_25_10" hidden="1">#REF!</definedName>
    <definedName name="STAT_1_S_25_12" hidden="1">#REF!</definedName>
    <definedName name="STAT_1_S_25_4" hidden="1">#REF!</definedName>
    <definedName name="STAT_1_S_25_5" hidden="1">#REF!</definedName>
    <definedName name="STAT_1_S_25_6" hidden="1">#REF!</definedName>
    <definedName name="STAT_1_S_25_7" hidden="1">#REF!</definedName>
    <definedName name="STAT_1_S_25_9" hidden="1">#REF!</definedName>
    <definedName name="STAT_1_S_26_10" hidden="1">#REF!</definedName>
    <definedName name="STAT_1_S_26_12" hidden="1">#REF!</definedName>
    <definedName name="STAT_1_S_26_4" hidden="1">#REF!</definedName>
    <definedName name="STAT_1_S_26_5" hidden="1">#REF!</definedName>
    <definedName name="STAT_1_S_26_6" hidden="1">#REF!</definedName>
    <definedName name="STAT_1_S_26_7" hidden="1">#REF!</definedName>
    <definedName name="STAT_1_S_26_9" hidden="1">#REF!</definedName>
    <definedName name="STAT_1_S_27_10" hidden="1">#REF!</definedName>
    <definedName name="STAT_1_S_27_12" hidden="1">#REF!</definedName>
    <definedName name="STAT_1_S_27_4" hidden="1">#REF!</definedName>
    <definedName name="STAT_1_S_27_5" hidden="1">#REF!</definedName>
    <definedName name="STAT_1_S_27_6" hidden="1">#REF!</definedName>
    <definedName name="STAT_1_S_27_7" hidden="1">#REF!</definedName>
    <definedName name="STAT_1_S_27_9" hidden="1">#REF!</definedName>
    <definedName name="STAT_1_S_28_10" hidden="1">#REF!</definedName>
    <definedName name="STAT_1_S_28_12" hidden="1">#REF!</definedName>
    <definedName name="STAT_1_S_28_4" hidden="1">#REF!</definedName>
    <definedName name="STAT_1_S_28_5" hidden="1">#REF!</definedName>
    <definedName name="STAT_1_S_28_6" hidden="1">#REF!</definedName>
    <definedName name="STAT_1_S_28_7" hidden="1">#REF!</definedName>
    <definedName name="STAT_1_S_28_9" hidden="1">#REF!</definedName>
    <definedName name="STAT_1_S_29_10" hidden="1">#REF!</definedName>
    <definedName name="STAT_1_S_29_12" hidden="1">#REF!</definedName>
    <definedName name="STAT_1_S_29_4" hidden="1">#REF!</definedName>
    <definedName name="STAT_1_S_29_5" hidden="1">#REF!</definedName>
    <definedName name="STAT_1_S_29_6" hidden="1">#REF!</definedName>
    <definedName name="STAT_1_S_29_7" hidden="1">#REF!</definedName>
    <definedName name="STAT_1_S_29_9" hidden="1">#REF!</definedName>
    <definedName name="STAT_1_S_3_10" hidden="1">#REF!</definedName>
    <definedName name="STAT_1_S_3_12" hidden="1">#REF!</definedName>
    <definedName name="STAT_1_S_3_4" hidden="1">#REF!</definedName>
    <definedName name="STAT_1_S_3_5" hidden="1">#REF!</definedName>
    <definedName name="STAT_1_S_3_6" hidden="1">#REF!</definedName>
    <definedName name="STAT_1_S_3_7" hidden="1">#REF!</definedName>
    <definedName name="STAT_1_S_3_9" hidden="1">#REF!</definedName>
    <definedName name="STAT_1_S_30_10" hidden="1">#REF!</definedName>
    <definedName name="STAT_1_S_30_12" hidden="1">#REF!</definedName>
    <definedName name="STAT_1_S_30_4" hidden="1">#REF!</definedName>
    <definedName name="STAT_1_S_30_5" hidden="1">#REF!</definedName>
    <definedName name="STAT_1_S_30_6" hidden="1">#REF!</definedName>
    <definedName name="STAT_1_S_30_7" hidden="1">#REF!</definedName>
    <definedName name="STAT_1_S_30_9" hidden="1">#REF!</definedName>
    <definedName name="STAT_1_S_31_10" hidden="1">#REF!</definedName>
    <definedName name="STAT_1_S_31_12" hidden="1">#REF!</definedName>
    <definedName name="STAT_1_S_31_4" hidden="1">#REF!</definedName>
    <definedName name="STAT_1_S_31_5" hidden="1">#REF!</definedName>
    <definedName name="STAT_1_S_31_6" hidden="1">#REF!</definedName>
    <definedName name="STAT_1_S_31_7" hidden="1">#REF!</definedName>
    <definedName name="STAT_1_S_31_9" hidden="1">#REF!</definedName>
    <definedName name="STAT_1_S_32_10" hidden="1">#REF!</definedName>
    <definedName name="STAT_1_S_32_12" hidden="1">#REF!</definedName>
    <definedName name="STAT_1_S_32_4" hidden="1">#REF!</definedName>
    <definedName name="STAT_1_S_32_5" hidden="1">#REF!</definedName>
    <definedName name="STAT_1_S_32_6" hidden="1">#REF!</definedName>
    <definedName name="STAT_1_S_32_7" hidden="1">#REF!</definedName>
    <definedName name="STAT_1_S_32_9" hidden="1">#REF!</definedName>
    <definedName name="STAT_1_S_33_10" hidden="1">#REF!</definedName>
    <definedName name="STAT_1_S_33_12" hidden="1">#REF!</definedName>
    <definedName name="STAT_1_S_33_4" hidden="1">#REF!</definedName>
    <definedName name="STAT_1_S_33_5" hidden="1">#REF!</definedName>
    <definedName name="STAT_1_S_33_6" hidden="1">#REF!</definedName>
    <definedName name="STAT_1_S_33_7" hidden="1">#REF!</definedName>
    <definedName name="STAT_1_S_33_9" hidden="1">#REF!</definedName>
    <definedName name="STAT_1_S_34_10" hidden="1">#REF!</definedName>
    <definedName name="STAT_1_S_34_12" hidden="1">#REF!</definedName>
    <definedName name="STAT_1_S_34_4" hidden="1">#REF!</definedName>
    <definedName name="STAT_1_S_34_5" hidden="1">#REF!</definedName>
    <definedName name="STAT_1_S_34_6" hidden="1">#REF!</definedName>
    <definedName name="STAT_1_S_34_7" hidden="1">#REF!</definedName>
    <definedName name="STAT_1_S_34_9" hidden="1">#REF!</definedName>
    <definedName name="STAT_1_S_35_10" hidden="1">#REF!</definedName>
    <definedName name="STAT_1_S_35_12" hidden="1">#REF!</definedName>
    <definedName name="STAT_1_S_35_4" hidden="1">#REF!</definedName>
    <definedName name="STAT_1_S_35_5" hidden="1">#REF!</definedName>
    <definedName name="STAT_1_S_35_6" hidden="1">#REF!</definedName>
    <definedName name="STAT_1_S_35_7" hidden="1">#REF!</definedName>
    <definedName name="STAT_1_S_35_9" hidden="1">#REF!</definedName>
    <definedName name="STAT_1_S_36_10" hidden="1">#REF!</definedName>
    <definedName name="STAT_1_S_36_11" hidden="1">#REF!</definedName>
    <definedName name="STAT_1_S_36_12" hidden="1">#REF!</definedName>
    <definedName name="STAT_1_S_36_4" hidden="1">#REF!</definedName>
    <definedName name="STAT_1_S_36_5" hidden="1">#REF!</definedName>
    <definedName name="STAT_1_S_36_6" hidden="1">#REF!</definedName>
    <definedName name="STAT_1_S_36_7" hidden="1">#REF!</definedName>
    <definedName name="STAT_1_S_36_8" hidden="1">#REF!</definedName>
    <definedName name="STAT_1_S_36_9" hidden="1">#REF!</definedName>
    <definedName name="STAT_1_S_37_10" hidden="1">#REF!</definedName>
    <definedName name="STAT_1_S_37_12" hidden="1">#REF!</definedName>
    <definedName name="STAT_1_S_37_4" hidden="1">#REF!</definedName>
    <definedName name="STAT_1_S_37_5" hidden="1">#REF!</definedName>
    <definedName name="STAT_1_S_37_6" hidden="1">#REF!</definedName>
    <definedName name="STAT_1_S_37_7" hidden="1">#REF!</definedName>
    <definedName name="STAT_1_S_37_9" hidden="1">#REF!</definedName>
    <definedName name="STAT_1_S_38_10" hidden="1">#REF!</definedName>
    <definedName name="STAT_1_S_38_12" hidden="1">#REF!</definedName>
    <definedName name="STAT_1_S_38_4" hidden="1">#REF!</definedName>
    <definedName name="STAT_1_S_38_5" hidden="1">#REF!</definedName>
    <definedName name="STAT_1_S_38_6" hidden="1">#REF!</definedName>
    <definedName name="STAT_1_S_38_7" hidden="1">#REF!</definedName>
    <definedName name="STAT_1_S_38_9" hidden="1">#REF!</definedName>
    <definedName name="STAT_1_S_39_10" hidden="1">#REF!</definedName>
    <definedName name="STAT_1_S_39_12" hidden="1">#REF!</definedName>
    <definedName name="STAT_1_S_39_4" hidden="1">#REF!</definedName>
    <definedName name="STAT_1_S_39_5" hidden="1">#REF!</definedName>
    <definedName name="STAT_1_S_39_6" hidden="1">#REF!</definedName>
    <definedName name="STAT_1_S_39_7" hidden="1">#REF!</definedName>
    <definedName name="STAT_1_S_39_9" hidden="1">#REF!</definedName>
    <definedName name="STAT_1_S_4_10" hidden="1">#REF!</definedName>
    <definedName name="STAT_1_S_4_12" hidden="1">#REF!</definedName>
    <definedName name="STAT_1_S_4_4" hidden="1">#REF!</definedName>
    <definedName name="STAT_1_S_4_5" hidden="1">#REF!</definedName>
    <definedName name="STAT_1_S_4_6" hidden="1">#REF!</definedName>
    <definedName name="STAT_1_S_4_7" hidden="1">#REF!</definedName>
    <definedName name="STAT_1_S_4_9" hidden="1">#REF!</definedName>
    <definedName name="STAT_1_S_40_10" hidden="1">#REF!</definedName>
    <definedName name="STAT_1_S_40_12" hidden="1">#REF!</definedName>
    <definedName name="STAT_1_S_40_4" hidden="1">#REF!</definedName>
    <definedName name="STAT_1_S_40_5" hidden="1">#REF!</definedName>
    <definedName name="STAT_1_S_40_6" hidden="1">#REF!</definedName>
    <definedName name="STAT_1_S_40_7" hidden="1">#REF!</definedName>
    <definedName name="STAT_1_S_40_9" hidden="1">#REF!</definedName>
    <definedName name="STAT_1_S_41_10" hidden="1">#REF!</definedName>
    <definedName name="STAT_1_S_41_12" hidden="1">#REF!</definedName>
    <definedName name="STAT_1_S_41_4" hidden="1">#REF!</definedName>
    <definedName name="STAT_1_S_41_5" hidden="1">#REF!</definedName>
    <definedName name="STAT_1_S_41_6" hidden="1">#REF!</definedName>
    <definedName name="STAT_1_S_41_7" hidden="1">#REF!</definedName>
    <definedName name="STAT_1_S_41_9" hidden="1">#REF!</definedName>
    <definedName name="STAT_1_S_42_10" hidden="1">#REF!</definedName>
    <definedName name="STAT_1_S_42_12" hidden="1">#REF!</definedName>
    <definedName name="STAT_1_S_42_4" hidden="1">#REF!</definedName>
    <definedName name="STAT_1_S_42_5" hidden="1">#REF!</definedName>
    <definedName name="STAT_1_S_42_6" hidden="1">#REF!</definedName>
    <definedName name="STAT_1_S_42_7" hidden="1">#REF!</definedName>
    <definedName name="STAT_1_S_42_9" hidden="1">#REF!</definedName>
    <definedName name="STAT_1_S_43_10" hidden="1">#REF!</definedName>
    <definedName name="STAT_1_S_43_12" hidden="1">#REF!</definedName>
    <definedName name="STAT_1_S_43_4" hidden="1">#REF!</definedName>
    <definedName name="STAT_1_S_43_5" hidden="1">#REF!</definedName>
    <definedName name="STAT_1_S_43_6" hidden="1">#REF!</definedName>
    <definedName name="STAT_1_S_43_7" hidden="1">#REF!</definedName>
    <definedName name="STAT_1_S_43_9" hidden="1">#REF!</definedName>
    <definedName name="STAT_1_S_44_10" hidden="1">#REF!</definedName>
    <definedName name="STAT_1_S_44_12" hidden="1">#REF!</definedName>
    <definedName name="STAT_1_S_44_4" hidden="1">#REF!</definedName>
    <definedName name="STAT_1_S_44_5" hidden="1">#REF!</definedName>
    <definedName name="STAT_1_S_44_6" hidden="1">#REF!</definedName>
    <definedName name="STAT_1_S_44_7" hidden="1">#REF!</definedName>
    <definedName name="STAT_1_S_44_9" hidden="1">#REF!</definedName>
    <definedName name="STAT_1_S_45_10" hidden="1">#REF!</definedName>
    <definedName name="STAT_1_S_45_12" hidden="1">#REF!</definedName>
    <definedName name="STAT_1_S_45_4" hidden="1">#REF!</definedName>
    <definedName name="STAT_1_S_45_5" hidden="1">#REF!</definedName>
    <definedName name="STAT_1_S_45_6" hidden="1">#REF!</definedName>
    <definedName name="STAT_1_S_45_7" hidden="1">#REF!</definedName>
    <definedName name="STAT_1_S_45_9" hidden="1">#REF!</definedName>
    <definedName name="STAT_1_S_46_10" hidden="1">#REF!</definedName>
    <definedName name="STAT_1_S_46_12" hidden="1">#REF!</definedName>
    <definedName name="STAT_1_S_46_4" hidden="1">#REF!</definedName>
    <definedName name="STAT_1_S_46_5" hidden="1">#REF!</definedName>
    <definedName name="STAT_1_S_46_6" hidden="1">#REF!</definedName>
    <definedName name="STAT_1_S_46_7" hidden="1">#REF!</definedName>
    <definedName name="STAT_1_S_46_9" hidden="1">#REF!</definedName>
    <definedName name="STAT_1_S_47_10" hidden="1">#REF!</definedName>
    <definedName name="STAT_1_S_47_12" hidden="1">#REF!</definedName>
    <definedName name="STAT_1_S_47_4" hidden="1">#REF!</definedName>
    <definedName name="STAT_1_S_47_5" hidden="1">#REF!</definedName>
    <definedName name="STAT_1_S_47_6" hidden="1">#REF!</definedName>
    <definedName name="STAT_1_S_47_7" hidden="1">#REF!</definedName>
    <definedName name="STAT_1_S_47_9" hidden="1">#REF!</definedName>
    <definedName name="STAT_1_S_48_10" hidden="1">#REF!</definedName>
    <definedName name="STAT_1_S_48_12" hidden="1">#REF!</definedName>
    <definedName name="STAT_1_S_48_4" hidden="1">#REF!</definedName>
    <definedName name="STAT_1_S_48_5" hidden="1">#REF!</definedName>
    <definedName name="STAT_1_S_48_6" hidden="1">#REF!</definedName>
    <definedName name="STAT_1_S_48_7" hidden="1">#REF!</definedName>
    <definedName name="STAT_1_S_48_9" hidden="1">#REF!</definedName>
    <definedName name="STAT_1_S_49_10" hidden="1">#REF!</definedName>
    <definedName name="STAT_1_S_49_12" hidden="1">#REF!</definedName>
    <definedName name="STAT_1_S_49_4" hidden="1">#REF!</definedName>
    <definedName name="STAT_1_S_49_5" hidden="1">#REF!</definedName>
    <definedName name="STAT_1_S_49_6" hidden="1">#REF!</definedName>
    <definedName name="STAT_1_S_49_7" hidden="1">#REF!</definedName>
    <definedName name="STAT_1_S_49_9" hidden="1">#REF!</definedName>
    <definedName name="STAT_1_S_5_10" hidden="1">#REF!</definedName>
    <definedName name="STAT_1_S_5_12" hidden="1">#REF!</definedName>
    <definedName name="STAT_1_S_5_4" hidden="1">#REF!</definedName>
    <definedName name="STAT_1_S_5_5" hidden="1">#REF!</definedName>
    <definedName name="STAT_1_S_5_6" hidden="1">#REF!</definedName>
    <definedName name="STAT_1_S_5_7" hidden="1">#REF!</definedName>
    <definedName name="STAT_1_S_5_9" hidden="1">#REF!</definedName>
    <definedName name="STAT_1_S_50_10" hidden="1">#REF!</definedName>
    <definedName name="STAT_1_S_50_12" hidden="1">#REF!</definedName>
    <definedName name="STAT_1_S_50_4" hidden="1">#REF!</definedName>
    <definedName name="STAT_1_S_50_5" hidden="1">#REF!</definedName>
    <definedName name="STAT_1_S_50_6" hidden="1">#REF!</definedName>
    <definedName name="STAT_1_S_50_7" hidden="1">#REF!</definedName>
    <definedName name="STAT_1_S_50_9" hidden="1">#REF!</definedName>
    <definedName name="STAT_1_S_51_10" hidden="1">#REF!</definedName>
    <definedName name="STAT_1_S_51_12" hidden="1">#REF!</definedName>
    <definedName name="STAT_1_S_51_4" hidden="1">#REF!</definedName>
    <definedName name="STAT_1_S_51_5" hidden="1">#REF!</definedName>
    <definedName name="STAT_1_S_51_6" hidden="1">#REF!</definedName>
    <definedName name="STAT_1_S_51_7" hidden="1">#REF!</definedName>
    <definedName name="STAT_1_S_51_9" hidden="1">#REF!</definedName>
    <definedName name="STAT_1_S_52_10" hidden="1">#REF!</definedName>
    <definedName name="STAT_1_S_52_12" hidden="1">#REF!</definedName>
    <definedName name="STAT_1_S_52_4" hidden="1">#REF!</definedName>
    <definedName name="STAT_1_S_52_5" hidden="1">#REF!</definedName>
    <definedName name="STAT_1_S_52_6" hidden="1">#REF!</definedName>
    <definedName name="STAT_1_S_52_7" hidden="1">#REF!</definedName>
    <definedName name="STAT_1_S_52_9" hidden="1">#REF!</definedName>
    <definedName name="STAT_1_S_53_10" hidden="1">#REF!</definedName>
    <definedName name="STAT_1_S_53_12" hidden="1">#REF!</definedName>
    <definedName name="STAT_1_S_53_4" hidden="1">#REF!</definedName>
    <definedName name="STAT_1_S_53_5" hidden="1">#REF!</definedName>
    <definedName name="STAT_1_S_53_6" hidden="1">#REF!</definedName>
    <definedName name="STAT_1_S_53_7" hidden="1">#REF!</definedName>
    <definedName name="STAT_1_S_53_9" hidden="1">#REF!</definedName>
    <definedName name="STAT_1_S_54_10" hidden="1">#REF!</definedName>
    <definedName name="STAT_1_S_54_12" hidden="1">#REF!</definedName>
    <definedName name="STAT_1_S_54_4" hidden="1">#REF!</definedName>
    <definedName name="STAT_1_S_54_5" hidden="1">#REF!</definedName>
    <definedName name="STAT_1_S_54_6" hidden="1">#REF!</definedName>
    <definedName name="STAT_1_S_54_7" hidden="1">#REF!</definedName>
    <definedName name="STAT_1_S_54_9" hidden="1">#REF!</definedName>
    <definedName name="STAT_1_S_55_10" hidden="1">#REF!</definedName>
    <definedName name="STAT_1_S_55_12" hidden="1">#REF!</definedName>
    <definedName name="STAT_1_S_55_4" hidden="1">#REF!</definedName>
    <definedName name="STAT_1_S_55_5" hidden="1">#REF!</definedName>
    <definedName name="STAT_1_S_55_6" hidden="1">#REF!</definedName>
    <definedName name="STAT_1_S_55_7" hidden="1">#REF!</definedName>
    <definedName name="STAT_1_S_55_9" hidden="1">#REF!</definedName>
    <definedName name="STAT_1_S_56_10" hidden="1">#REF!</definedName>
    <definedName name="STAT_1_S_56_12" hidden="1">#REF!</definedName>
    <definedName name="STAT_1_S_56_4" hidden="1">#REF!</definedName>
    <definedName name="STAT_1_S_56_5" hidden="1">#REF!</definedName>
    <definedName name="STAT_1_S_56_6" hidden="1">#REF!</definedName>
    <definedName name="STAT_1_S_56_7" hidden="1">#REF!</definedName>
    <definedName name="STAT_1_S_56_9" hidden="1">#REF!</definedName>
    <definedName name="STAT_1_S_57_10" hidden="1">#REF!</definedName>
    <definedName name="STAT_1_S_57_12" hidden="1">#REF!</definedName>
    <definedName name="STAT_1_S_57_4" hidden="1">#REF!</definedName>
    <definedName name="STAT_1_S_57_5" hidden="1">#REF!</definedName>
    <definedName name="STAT_1_S_57_6" hidden="1">#REF!</definedName>
    <definedName name="STAT_1_S_57_7" hidden="1">#REF!</definedName>
    <definedName name="STAT_1_S_57_9" hidden="1">#REF!</definedName>
    <definedName name="STAT_1_S_58_10" hidden="1">#REF!</definedName>
    <definedName name="STAT_1_S_58_11" hidden="1">#REF!</definedName>
    <definedName name="STAT_1_S_58_12" hidden="1">#REF!</definedName>
    <definedName name="STAT_1_S_58_4" hidden="1">#REF!</definedName>
    <definedName name="STAT_1_S_58_5" hidden="1">#REF!</definedName>
    <definedName name="STAT_1_S_58_6" hidden="1">#REF!</definedName>
    <definedName name="STAT_1_S_58_7" hidden="1">#REF!</definedName>
    <definedName name="STAT_1_S_58_8" hidden="1">#REF!</definedName>
    <definedName name="STAT_1_S_58_9" hidden="1">#REF!</definedName>
    <definedName name="STAT_1_S_59_10" hidden="1">#REF!</definedName>
    <definedName name="STAT_1_S_59_12" hidden="1">#REF!</definedName>
    <definedName name="STAT_1_S_59_4" hidden="1">#REF!</definedName>
    <definedName name="STAT_1_S_59_5" hidden="1">#REF!</definedName>
    <definedName name="STAT_1_S_59_6" hidden="1">#REF!</definedName>
    <definedName name="STAT_1_S_59_7" hidden="1">#REF!</definedName>
    <definedName name="STAT_1_S_59_9" hidden="1">#REF!</definedName>
    <definedName name="STAT_1_S_6_10" hidden="1">#REF!</definedName>
    <definedName name="STAT_1_S_6_12" hidden="1">#REF!</definedName>
    <definedName name="STAT_1_S_6_4" hidden="1">#REF!</definedName>
    <definedName name="STAT_1_S_6_5" hidden="1">#REF!</definedName>
    <definedName name="STAT_1_S_6_6" hidden="1">#REF!</definedName>
    <definedName name="STAT_1_S_6_7" hidden="1">#REF!</definedName>
    <definedName name="STAT_1_S_6_9" hidden="1">#REF!</definedName>
    <definedName name="STAT_1_S_60_10" hidden="1">#REF!</definedName>
    <definedName name="STAT_1_S_60_12" hidden="1">#REF!</definedName>
    <definedName name="STAT_1_S_60_4" hidden="1">#REF!</definedName>
    <definedName name="STAT_1_S_60_5" hidden="1">#REF!</definedName>
    <definedName name="STAT_1_S_60_6" hidden="1">#REF!</definedName>
    <definedName name="STAT_1_S_60_7" hidden="1">#REF!</definedName>
    <definedName name="STAT_1_S_60_9" hidden="1">#REF!</definedName>
    <definedName name="STAT_1_S_61_10" hidden="1">#REF!</definedName>
    <definedName name="STAT_1_S_61_12" hidden="1">#REF!</definedName>
    <definedName name="STAT_1_S_61_4" hidden="1">#REF!</definedName>
    <definedName name="STAT_1_S_61_5" hidden="1">#REF!</definedName>
    <definedName name="STAT_1_S_61_6" hidden="1">#REF!</definedName>
    <definedName name="STAT_1_S_61_7" hidden="1">#REF!</definedName>
    <definedName name="STAT_1_S_61_9" hidden="1">#REF!</definedName>
    <definedName name="STAT_1_S_62_10" hidden="1">#REF!</definedName>
    <definedName name="STAT_1_S_62_12" hidden="1">#REF!</definedName>
    <definedName name="STAT_1_S_62_4" hidden="1">#REF!</definedName>
    <definedName name="STAT_1_S_62_5" hidden="1">#REF!</definedName>
    <definedName name="STAT_1_S_62_6" hidden="1">#REF!</definedName>
    <definedName name="STAT_1_S_62_7" hidden="1">#REF!</definedName>
    <definedName name="STAT_1_S_62_9" hidden="1">#REF!</definedName>
    <definedName name="STAT_1_S_63_10" hidden="1">#REF!</definedName>
    <definedName name="STAT_1_S_63_12" hidden="1">#REF!</definedName>
    <definedName name="STAT_1_S_63_4" hidden="1">#REF!</definedName>
    <definedName name="STAT_1_S_63_5" hidden="1">#REF!</definedName>
    <definedName name="STAT_1_S_63_6" hidden="1">#REF!</definedName>
    <definedName name="STAT_1_S_63_7" hidden="1">#REF!</definedName>
    <definedName name="STAT_1_S_63_9" hidden="1">#REF!</definedName>
    <definedName name="STAT_1_S_64_10" hidden="1">#REF!</definedName>
    <definedName name="STAT_1_S_64_12" hidden="1">#REF!</definedName>
    <definedName name="STAT_1_S_64_4" hidden="1">#REF!</definedName>
    <definedName name="STAT_1_S_64_5" hidden="1">#REF!</definedName>
    <definedName name="STAT_1_S_64_6" hidden="1">#REF!</definedName>
    <definedName name="STAT_1_S_64_7" hidden="1">#REF!</definedName>
    <definedName name="STAT_1_S_64_9" hidden="1">#REF!</definedName>
    <definedName name="STAT_1_S_65_10" hidden="1">#REF!</definedName>
    <definedName name="STAT_1_S_65_12" hidden="1">#REF!</definedName>
    <definedName name="STAT_1_S_65_4" hidden="1">#REF!</definedName>
    <definedName name="STAT_1_S_65_5" hidden="1">#REF!</definedName>
    <definedName name="STAT_1_S_65_6" hidden="1">#REF!</definedName>
    <definedName name="STAT_1_S_65_7" hidden="1">#REF!</definedName>
    <definedName name="STAT_1_S_65_9" hidden="1">#REF!</definedName>
    <definedName name="STAT_1_S_66_10" hidden="1">#REF!</definedName>
    <definedName name="STAT_1_S_66_12" hidden="1">#REF!</definedName>
    <definedName name="STAT_1_S_66_4" hidden="1">#REF!</definedName>
    <definedName name="STAT_1_S_66_5" hidden="1">#REF!</definedName>
    <definedName name="STAT_1_S_66_6" hidden="1">#REF!</definedName>
    <definedName name="STAT_1_S_66_7" hidden="1">#REF!</definedName>
    <definedName name="STAT_1_S_66_9" hidden="1">#REF!</definedName>
    <definedName name="STAT_1_S_67_10" hidden="1">#REF!</definedName>
    <definedName name="STAT_1_S_67_12" hidden="1">#REF!</definedName>
    <definedName name="STAT_1_S_67_4" hidden="1">#REF!</definedName>
    <definedName name="STAT_1_S_67_5" hidden="1">#REF!</definedName>
    <definedName name="STAT_1_S_67_6" hidden="1">#REF!</definedName>
    <definedName name="STAT_1_S_67_7" hidden="1">#REF!</definedName>
    <definedName name="STAT_1_S_67_9" hidden="1">#REF!</definedName>
    <definedName name="STAT_1_S_68_10" hidden="1">#REF!</definedName>
    <definedName name="STAT_1_S_68_12" hidden="1">#REF!</definedName>
    <definedName name="STAT_1_S_68_4" hidden="1">#REF!</definedName>
    <definedName name="STAT_1_S_68_5" hidden="1">#REF!</definedName>
    <definedName name="STAT_1_S_68_6" hidden="1">#REF!</definedName>
    <definedName name="STAT_1_S_68_7" hidden="1">#REF!</definedName>
    <definedName name="STAT_1_S_68_9" hidden="1">#REF!</definedName>
    <definedName name="STAT_1_S_69_10" hidden="1">#REF!</definedName>
    <definedName name="STAT_1_S_69_12" hidden="1">#REF!</definedName>
    <definedName name="STAT_1_S_69_4" hidden="1">#REF!</definedName>
    <definedName name="STAT_1_S_69_5" hidden="1">#REF!</definedName>
    <definedName name="STAT_1_S_69_6" hidden="1">#REF!</definedName>
    <definedName name="STAT_1_S_69_7" hidden="1">#REF!</definedName>
    <definedName name="STAT_1_S_69_9" hidden="1">#REF!</definedName>
    <definedName name="STAT_1_S_7_10" hidden="1">#REF!</definedName>
    <definedName name="STAT_1_S_7_12" hidden="1">#REF!</definedName>
    <definedName name="STAT_1_S_7_4" hidden="1">#REF!</definedName>
    <definedName name="STAT_1_S_7_5" hidden="1">#REF!</definedName>
    <definedName name="STAT_1_S_7_6" hidden="1">#REF!</definedName>
    <definedName name="STAT_1_S_7_7" hidden="1">#REF!</definedName>
    <definedName name="STAT_1_S_7_9" hidden="1">#REF!</definedName>
    <definedName name="STAT_1_S_70_4" hidden="1">#REF!</definedName>
    <definedName name="STAT_1_S_70_5" hidden="1">#REF!</definedName>
    <definedName name="STAT_1_S_70_6" hidden="1">#REF!</definedName>
    <definedName name="STAT_1_S_70_7" hidden="1">#REF!</definedName>
    <definedName name="STAT_1_S_71_4" hidden="1">#REF!</definedName>
    <definedName name="STAT_1_S_71_5" hidden="1">#REF!</definedName>
    <definedName name="STAT_1_S_71_6" hidden="1">#REF!</definedName>
    <definedName name="STAT_1_S_71_7" hidden="1">#REF!</definedName>
    <definedName name="STAT_1_S_72_4" hidden="1">#REF!</definedName>
    <definedName name="STAT_1_S_72_5" hidden="1">#REF!</definedName>
    <definedName name="STAT_1_S_72_6" hidden="1">#REF!</definedName>
    <definedName name="STAT_1_S_72_7" hidden="1">#REF!</definedName>
    <definedName name="STAT_1_S_8_10" hidden="1">#REF!</definedName>
    <definedName name="STAT_1_S_8_12" hidden="1">#REF!</definedName>
    <definedName name="STAT_1_S_8_4" hidden="1">#REF!</definedName>
    <definedName name="STAT_1_S_8_5" hidden="1">#REF!</definedName>
    <definedName name="STAT_1_S_8_6" hidden="1">#REF!</definedName>
    <definedName name="STAT_1_S_8_7" hidden="1">#REF!</definedName>
    <definedName name="STAT_1_S_8_9" hidden="1">#REF!</definedName>
    <definedName name="STAT_1_S_9_10" hidden="1">#REF!</definedName>
    <definedName name="STAT_1_S_9_12" hidden="1">#REF!</definedName>
    <definedName name="STAT_1_S_9_4" hidden="1">#REF!</definedName>
    <definedName name="STAT_1_S_9_5" hidden="1">#REF!</definedName>
    <definedName name="STAT_1_S_9_6" hidden="1">#REF!</definedName>
    <definedName name="STAT_1_S_9_7" hidden="1">#REF!</definedName>
    <definedName name="STAT_1_S_9_9" hidden="1">#REF!</definedName>
    <definedName name="STAT_1_S_90_10" hidden="1">#REF!</definedName>
    <definedName name="STAT_1_S_90_9" hidden="1">#REF!</definedName>
    <definedName name="STAT_1_S_91_10" hidden="1">#REF!</definedName>
    <definedName name="STAT_1_S_91_9" hidden="1">#REF!</definedName>
    <definedName name="STAT_1_S_92_10" hidden="1">#REF!</definedName>
    <definedName name="STAT_1_S_92_9" hidden="1">#REF!</definedName>
    <definedName name="STAT_1_STUFF_A" hidden="1">#REF!</definedName>
    <definedName name="STAT_1_STUFF_B" hidden="1">#REF!</definedName>
    <definedName name="STAT_19_POK4_2" hidden="1">#REF!</definedName>
    <definedName name="STAT_19_POK4_3" hidden="1">#REF!</definedName>
    <definedName name="STAT_21_POK1_2" hidden="1">#REF!</definedName>
    <definedName name="STAT_21_POK1_3" hidden="1">#REF!</definedName>
    <definedName name="STAT_21_POK2_2" hidden="1">#REF!</definedName>
    <definedName name="STAT_21_POK2_3" hidden="1">#REF!</definedName>
    <definedName name="STAT_22_POK4_2" hidden="1">#REF!</definedName>
    <definedName name="STAT_22_POK4_3" hidden="1">#REF!</definedName>
    <definedName name="STAT_23_POK4_2" hidden="1">#REF!</definedName>
    <definedName name="STAT_23_POK4_3" hidden="1">#REF!</definedName>
    <definedName name="STAT_24_POK3_2" hidden="1">#REF!</definedName>
    <definedName name="STAT_24_POK3_3" hidden="1">#REF!</definedName>
    <definedName name="STAT_25_POK4_2" hidden="1">#REF!</definedName>
    <definedName name="STAT_25_POK4_3" hidden="1">#REF!</definedName>
    <definedName name="STAT_26_POK4_2" hidden="1">#REF!</definedName>
    <definedName name="STAT_26_POK4_3" hidden="1">#REF!</definedName>
    <definedName name="STAT_27_POK4_2" hidden="1">#REF!</definedName>
    <definedName name="STAT_27_POK4_3" hidden="1">#REF!</definedName>
    <definedName name="STAT_28_POK3_2" hidden="1">#REF!</definedName>
    <definedName name="STAT_28_POK3_3" hidden="1">#REF!</definedName>
    <definedName name="STAT_28_POK4_2" hidden="1">#REF!</definedName>
    <definedName name="STAT_28_POK4_3" hidden="1">#REF!</definedName>
    <definedName name="STAT_29_POK4_2" hidden="1">#REF!</definedName>
    <definedName name="STAT_29_POK4_3" hidden="1">#REF!</definedName>
    <definedName name="STAT_30_POK4_2" hidden="1">#REF!</definedName>
    <definedName name="STAT_30_POK4_3" hidden="1">#REF!</definedName>
    <definedName name="STAVKA">#REF!</definedName>
    <definedName name="STAVKA_USD">#REF!</definedName>
    <definedName name="STDs">#REF!</definedName>
    <definedName name="stella" localSheetId="2" hidden="1">{"det (May)",#N/A,FALSE,"June";"sum (MAY YTD)",#N/A,FALSE,"June YTD"}</definedName>
    <definedName name="stella">#REF!</definedName>
    <definedName name="sthkshkshk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sthkshkshk" hidden="1">{#N/A,#N/A,FALSE,"INPUTS";#N/A,#N/A,FALSE,"PROFORMA BSHEET";#N/A,#N/A,FALSE,"COMBINED";#N/A,#N/A,FALSE,"ACQUIROR";#N/A,#N/A,FALSE,"TARGET 1";#N/A,#N/A,FALSE,"TARGET 2";#N/A,#N/A,FALSE,"HIGH YIELD";#N/A,#N/A,FALSE,"OVERFUND"}</definedName>
    <definedName name="stksthkstyk" localSheetId="2" hidden="1">{#N/A,#N/A,FALSE,"Valuation Assumptions";#N/A,#N/A,FALSE,"Summary";#N/A,#N/A,FALSE,"DCF";#N/A,#N/A,FALSE,"Valuation";#N/A,#N/A,FALSE,"WACC";#N/A,#N/A,FALSE,"UBVH";#N/A,#N/A,FALSE,"Free Cash Flow"}</definedName>
    <definedName name="stksthkstyk" hidden="1">{#N/A,#N/A,FALSE,"Valuation Assumptions";#N/A,#N/A,FALSE,"Summary";#N/A,#N/A,FALSE,"DCF";#N/A,#N/A,FALSE,"Valuation";#N/A,#N/A,FALSE,"WACC";#N/A,#N/A,FALSE,"UBVH";#N/A,#N/A,FALSE,"Free Cash Flow"}</definedName>
    <definedName name="STOCK_BUY" localSheetId="2">#REF!</definedName>
    <definedName name="STOCK_BUY">#REF!</definedName>
    <definedName name="STOCK_SALE" localSheetId="2">#REF!</definedName>
    <definedName name="STOCK_SALE">#REF!</definedName>
    <definedName name="StockPrice">#REF!</definedName>
    <definedName name="STPA">#REF!</definedName>
    <definedName name="STPB">#REF!</definedName>
    <definedName name="STPC">#REF!</definedName>
    <definedName name="STPD">#REF!</definedName>
    <definedName name="STPE">#REF!</definedName>
    <definedName name="STPF1">#REF!</definedName>
    <definedName name="STPF2">#REF!</definedName>
    <definedName name="STPG">#REF!</definedName>
    <definedName name="STPH">#REF!</definedName>
    <definedName name="STPI">#REF!</definedName>
    <definedName name="STPJ">#REF!</definedName>
    <definedName name="STPK">#REF!</definedName>
    <definedName name="STPL">#REF!</definedName>
    <definedName name="STPS">#REF!</definedName>
    <definedName name="str" localSheetId="2">#REF!</definedName>
    <definedName name="str">#REF!</definedName>
    <definedName name="Strategicplanning">#REF!</definedName>
    <definedName name="StrikePrice">#REF!</definedName>
    <definedName name="Stub" hidden="1">#NAME?</definedName>
    <definedName name="Stub_Header1" hidden="1">#NAME?</definedName>
    <definedName name="Stub_Header2" hidden="1">#NAME?</definedName>
    <definedName name="Stub_Header3" hidden="1">#NAME?</definedName>
    <definedName name="sub_1534120">#REF!</definedName>
    <definedName name="summaPlanNamedRange">#REF!</definedName>
    <definedName name="summaPlanNamedRange1">#REF!</definedName>
    <definedName name="summary2" localSheetId="2" hidden="1">{#N/A,#N/A,FALSE,"Aging Summary";#N/A,#N/A,FALSE,"Ratio Analysis";#N/A,#N/A,FALSE,"Test 120 Day Accts";#N/A,#N/A,FALSE,"Tickmarks"}</definedName>
    <definedName name="summary2" hidden="1">{#N/A,#N/A,FALSE,"Aging Summary";#N/A,#N/A,FALSE,"Ratio Analysis";#N/A,#N/A,FALSE,"Test 120 Day Accts";#N/A,#N/A,FALSE,"Tickmarks"}</definedName>
    <definedName name="SumMonth" localSheetId="2">#REF!</definedName>
    <definedName name="SumMonth">#REF!</definedName>
    <definedName name="Surpluses_07GAAP" hidden="1">#NAME?</definedName>
    <definedName name="Surpluses_07GAAPNGW" hidden="1">#NAME?</definedName>
    <definedName name="Surpluses_07БУ" hidden="1">#NAME?</definedName>
    <definedName name="Surpluses_08GAAP" hidden="1">#NAME?</definedName>
    <definedName name="Surpluses_08GAAPNGW" hidden="1">#NAME?</definedName>
    <definedName name="Surpluses_08БУ" hidden="1">#NAME?</definedName>
    <definedName name="Surpluses_GAAPNGWПрочиеВыбытиеПроизводственные" hidden="1">#NAME?</definedName>
    <definedName name="Surpluses_GAAPNGWПрочиеВыбытиеСоциальные" hidden="1">#NAME?</definedName>
    <definedName name="Surpluses_GAAPПрочиеВыбытиеПроизводственные" hidden="1">#NAME?</definedName>
    <definedName name="Surpluses_GAAPПрочиеВыбытиеСоциальные" hidden="1">#NAME?</definedName>
    <definedName name="Surpluses_ПрочиеВыбытиеПроизводственные" hidden="1">#NAME?</definedName>
    <definedName name="Surpluses_ПрочиеВыбытиеСоциальные" hidden="1">#NAME?</definedName>
    <definedName name="SV_AUTO_CONN_CATALOG" hidden="1">"TRANSALLOYS"</definedName>
    <definedName name="SV_AUTO_CONN_SERVER" hidden="1">"TRAAPP01"</definedName>
    <definedName name="SV_ENCPT_AUTO_CONN_PASSWORD" hidden="1">"083096084083070121098"</definedName>
    <definedName name="SV_ENCPT_AUTO_CONN_USER" hidden="1">"095094088070084121098"</definedName>
    <definedName name="SV_ENCPT_EVOCOMMON_PASSWORD" hidden="1">"083096084083070121098"</definedName>
    <definedName name="SV_ENCPT_EVOCOMMON_USER" hidden="1">"095094088070084121098"</definedName>
    <definedName name="SV_ENCPT_LOGON_PWD" hidden="1">"078104085088070"</definedName>
    <definedName name="SV_ENCPT_LOGON_USER" hidden="1">"095094088070084"</definedName>
    <definedName name="SV_EVOCOMMON_CATALOG" hidden="1">"EvolutionCommon"</definedName>
    <definedName name="SV_EVOCOMMON_SERVER" hidden="1">"TRAAPP01"</definedName>
    <definedName name="SV_REPORT_CODE" hidden="1">""</definedName>
    <definedName name="SV_REPORT_ID" hidden="1">"125"</definedName>
    <definedName name="SV_REPORT_NAME" hidden="1">"Budget template"</definedName>
    <definedName name="SV_SOLUTION_ID" hidden="1">"2"</definedName>
    <definedName name="SVOD_IT1_1" hidden="1">#NAME?</definedName>
    <definedName name="SVOD_IT1_4" hidden="1">#NAME?</definedName>
    <definedName name="SVOD_IT1_5" hidden="1">#NAME?</definedName>
    <definedName name="SVOD_STR1_1" hidden="1">#NAME?</definedName>
    <definedName name="SVOD_STR1_1_1" hidden="1">#NAME?</definedName>
    <definedName name="SVOD_STR1_1_4" hidden="1">#NAME?</definedName>
    <definedName name="SVOD_STR1_1_5" hidden="1">#NAME?</definedName>
    <definedName name="SVOD_STR1_2_1" hidden="1">#NAME?</definedName>
    <definedName name="SVOD_STR1_2_3" hidden="1">#NAME?</definedName>
    <definedName name="SVOD_STR1_2_4" hidden="1">#NAME?</definedName>
    <definedName name="SVOD_STR1_2_5" hidden="1">#NAME?</definedName>
    <definedName name="SVOD_STR1_3_1" hidden="1">#NAME?</definedName>
    <definedName name="SVOD_STR1_3_4" hidden="1">#NAME?</definedName>
    <definedName name="SVOD_STR1_3_5" hidden="1">#NAME?</definedName>
    <definedName name="SVOD_STR1_4_1" hidden="1">#NAME?</definedName>
    <definedName name="SVOD_STR1_4_4" hidden="1">#NAME?</definedName>
    <definedName name="SVOD_STR1_4_5" hidden="1">#NAME?</definedName>
    <definedName name="SVOD_STR1_5_1" hidden="1">#NAME?</definedName>
    <definedName name="SVOD_STR1_5_4" hidden="1">#NAME?</definedName>
    <definedName name="SVOD_STR1_5_5" hidden="1">#NAME?</definedName>
    <definedName name="SVOD_STR1_6_1" hidden="1">#NAME?</definedName>
    <definedName name="SVOD_STR1_6_4" hidden="1">#NAME?</definedName>
    <definedName name="SVOD_STR1_6_5" hidden="1">#NAME?</definedName>
    <definedName name="SVOD_STR1_7_1" hidden="1">#NAME?</definedName>
    <definedName name="SVOD_STR1_7_4" hidden="1">#NAME?</definedName>
    <definedName name="SVOD_STR1_7_5" hidden="1">#NAME?</definedName>
    <definedName name="SVOD_STR1_8_1" hidden="1">#NAME?</definedName>
    <definedName name="SVOD_STR1_8_3" hidden="1">#NAME?</definedName>
    <definedName name="SVOD_STR1_8_4" hidden="1">#NAME?</definedName>
    <definedName name="SVOD_STR1_8_5" hidden="1">#NAME?</definedName>
    <definedName name="SVOD_STR1_9_1" hidden="1">#NAME?</definedName>
    <definedName name="SVOD_STR1_9_3" hidden="1">#NAME?</definedName>
    <definedName name="SVOD_STR1_9_4" hidden="1">#NAME?</definedName>
    <definedName name="SVOD_STR1_9_5" hidden="1">#NAME?</definedName>
    <definedName name="SVOD_STR2_1" hidden="1">#NAME?</definedName>
    <definedName name="SVOD_STR2_1_1" hidden="1">#NAME?</definedName>
    <definedName name="SVOD_STR2_2_1" hidden="1">#NAME?</definedName>
    <definedName name="SVOD_STR3_1" hidden="1">#NAME?</definedName>
    <definedName name="SVOD_STR3_1_1" hidden="1">#NAME?</definedName>
    <definedName name="SVOD_STR3_2_1" hidden="1">#NAME?</definedName>
    <definedName name="SVOD_STR3_3_1" hidden="1">#NAME?</definedName>
    <definedName name="SVOD_STR3_4_1" hidden="1">#NAME?</definedName>
    <definedName name="SVOD_STR3_5_1" hidden="1">#NAME?</definedName>
    <definedName name="SVOD_STR4_1" hidden="1">#NAME?</definedName>
    <definedName name="SVOD_STR4_1_1" hidden="1">#NAME?</definedName>
    <definedName name="SVOD_STR4_1_1_1" hidden="1">#NAME?</definedName>
    <definedName name="SVOD_STR4_2_1" hidden="1">#NAME?</definedName>
    <definedName name="SVOD_STR4_3_1" hidden="1">#NAME?</definedName>
    <definedName name="SVOD_STR4_4_1" hidden="1">#NAME?</definedName>
    <definedName name="SVOD_SUM1" localSheetId="2" hidden="1">#REF!</definedName>
    <definedName name="SVOD_SUM1">#REF!</definedName>
    <definedName name="SVOD_SUM1_1" localSheetId="2" hidden="1">#REF!</definedName>
    <definedName name="SVOD_SUM1_1">#REF!</definedName>
    <definedName name="SVOD_SUM10" localSheetId="2" hidden="1">#REF!</definedName>
    <definedName name="SVOD_SUM10">#REF!</definedName>
    <definedName name="SVOD_SUM11">#REF!</definedName>
    <definedName name="SVOD_SUM12">#REF!</definedName>
    <definedName name="SVOD_SUM13">#REF!</definedName>
    <definedName name="SVOD_SUM2">#REF!</definedName>
    <definedName name="SVOD_SUM2_1">#REF!</definedName>
    <definedName name="SVOD_SUM2_2">#REF!</definedName>
    <definedName name="SVOD_SUM2_3">#REF!</definedName>
    <definedName name="SVOD_SUM3">#REF!</definedName>
    <definedName name="SVOD_SUM3_1">#REF!</definedName>
    <definedName name="SVOD_SUM3_2">#REF!</definedName>
    <definedName name="SVOD_SUM3_3">#REF!</definedName>
    <definedName name="SVOD_SUM3_4">#REF!</definedName>
    <definedName name="SVOD_SUM3_5">#REF!</definedName>
    <definedName name="SVOD_SUM3_6">#REF!</definedName>
    <definedName name="SVOD_SUM3_7">#REF!</definedName>
    <definedName name="SVOD_SUM4">#REF!</definedName>
    <definedName name="SVOD_SUM5">#REF!</definedName>
    <definedName name="SVOD_SUM6">#REF!</definedName>
    <definedName name="SVOD_SUM6_1">#REF!</definedName>
    <definedName name="SVOD_SUM7">#REF!</definedName>
    <definedName name="SVOD_SUM8">#REF!</definedName>
    <definedName name="SVOD_SUM9">#REF!</definedName>
    <definedName name="SVOD2_BAL_AKT_1" hidden="1">#NAME?</definedName>
    <definedName name="SVOD2_BAL_AKT_4" hidden="1">#NAME?</definedName>
    <definedName name="SVOD2_BAL_AKT_5" hidden="1">#NAME?</definedName>
    <definedName name="SVOD2_IT2_1" hidden="1">#NAME?</definedName>
    <definedName name="SVOD2_IT2_4" hidden="1">#NAME?</definedName>
    <definedName name="SVOD2_IT2_5" hidden="1">#NAME?</definedName>
    <definedName name="SVOD2_STR2_1_1" hidden="1">#NAME?</definedName>
    <definedName name="SVOD2_STR2_1_4" hidden="1">#NAME?</definedName>
    <definedName name="SVOD2_STR2_1_5" hidden="1">#NAME?</definedName>
    <definedName name="SVOD2_STR2_2_1" hidden="1">#NAME?</definedName>
    <definedName name="SVOD2_STR2_2_4" hidden="1">#NAME?</definedName>
    <definedName name="SVOD2_STR2_2_5" hidden="1">#NAME?</definedName>
    <definedName name="SVOD2_STR2_3_1" hidden="1">#NAME?</definedName>
    <definedName name="SVOD2_STR2_3_4" hidden="1">#NAME?</definedName>
    <definedName name="SVOD2_STR2_3_5" hidden="1">#NAME?</definedName>
    <definedName name="SVOD2_STR2_4_1" hidden="1">#NAME?</definedName>
    <definedName name="SVOD2_STR2_4_3" hidden="1">#NAME?</definedName>
    <definedName name="SVOD2_STR2_4_4" hidden="1">#NAME?</definedName>
    <definedName name="SVOD2_STR2_4_5" hidden="1">#NAME?</definedName>
    <definedName name="SVOD2_STR2_5_1" hidden="1">#NAME?</definedName>
    <definedName name="SVOD2_STR2_5_4" hidden="1">#NAME?</definedName>
    <definedName name="SVOD2_STR2_5_5" hidden="1">#NAME?</definedName>
    <definedName name="SVOD2_STR2_6_1" hidden="1">#NAME?</definedName>
    <definedName name="SVOD2_STR2_6_4" hidden="1">#NAME?</definedName>
    <definedName name="SVOD2_STR2_6_5" hidden="1">#NAME?</definedName>
    <definedName name="SVOD2_STR5_1" hidden="1">#NAME?</definedName>
    <definedName name="SVOD2_STR5_1_1" hidden="1">#NAME?</definedName>
    <definedName name="SVOD2_STR5_1_3" hidden="1">#NAME?</definedName>
    <definedName name="SVOD2_STR5_1_4" hidden="1">#NAME?</definedName>
    <definedName name="SVOD2_STR5_2_1" hidden="1">#NAME?</definedName>
    <definedName name="SVOD2_STR5_2_3" hidden="1">#NAME?</definedName>
    <definedName name="SVOD2_STR5_2_4" hidden="1">#NAME?</definedName>
    <definedName name="SVOD2_STR5_3" hidden="1">#NAME?</definedName>
    <definedName name="SVOD2_STR5_4" hidden="1">#NAME?</definedName>
    <definedName name="SVOD2_STR6_1_1" hidden="1">#NAME?</definedName>
    <definedName name="SVOD2_STR6_1_3" hidden="1">#NAME?</definedName>
    <definedName name="SVOD2_STR6_1_4" hidden="1">#NAME?</definedName>
    <definedName name="SVOD2_STR6_2_1" hidden="1">#NAME?</definedName>
    <definedName name="SVOD2_STR6_2_4" hidden="1">#NAME?</definedName>
    <definedName name="SVOD26_POG_FL_BN_RUB">#REF!</definedName>
    <definedName name="SVOD26_POG_FL_PROSROC_RUB">#REF!</definedName>
    <definedName name="SVOD26_POG_FL_RUB">#REF!</definedName>
    <definedName name="SVOD26_POG_FL_SROC_RUB">#REF!</definedName>
    <definedName name="SVOD26_POG_FL_USD">#REF!</definedName>
    <definedName name="SVOD26_POG_UL_BN_RUB">#REF!</definedName>
    <definedName name="SVOD26_POG_UL_PROSROC_RUB">#REF!</definedName>
    <definedName name="SVOD26_POG_UL_RUB">#REF!</definedName>
    <definedName name="SVOD26_POG_UL_SROC_RUB">#REF!</definedName>
    <definedName name="SVOD26_POG_UL_USD">#REF!</definedName>
    <definedName name="SVOD26_VYD_FL_RUB">#REF!</definedName>
    <definedName name="SVOD26_VYD_FL_USD">#REF!</definedName>
    <definedName name="SVOD26_VYD_MB_RUB">#REF!</definedName>
    <definedName name="SVOD26_VYD_MB_USD">#REF!</definedName>
    <definedName name="SVOD26_VYD_UL_RUB">#REF!</definedName>
    <definedName name="SVOD26_VYD_UL_USD">#REF!</definedName>
    <definedName name="SVOD27_SSUD_FL_RUB01">#REF!</definedName>
    <definedName name="SVOD27_SSUD_FL_RUB02">#REF!</definedName>
    <definedName name="SVOD27_SSUD_FL_RUB03">#REF!</definedName>
    <definedName name="SVOD27_SSUD_FL_RUB04">#REF!</definedName>
    <definedName name="SVOD27_SSUD_FL_RUB05">#REF!</definedName>
    <definedName name="SVOD27_SSUD_FL_RUB06">#REF!</definedName>
    <definedName name="SVOD27_SSUD_FL_RUB07">#REF!</definedName>
    <definedName name="SVOD27_SSUD_FL_RUB08">#REF!</definedName>
    <definedName name="SVOD27_SSUD_FL_RUB09">#REF!</definedName>
    <definedName name="SVOD27_SSUD_FL_RUB10">#REF!</definedName>
    <definedName name="SVOD27_SSUD_FL_RUB11">#REF!</definedName>
    <definedName name="SVOD27_SSUD_FL_RUB12">#REF!</definedName>
    <definedName name="SVOD27_SSUD_FL_RUB13">#REF!</definedName>
    <definedName name="SVOD27_SSUD_FL_USD01">#REF!</definedName>
    <definedName name="SVOD27_SSUD_FL_USD02">#REF!</definedName>
    <definedName name="SVOD27_SSUD_FL_USD03">#REF!</definedName>
    <definedName name="SVOD27_SSUD_FL_USD04">#REF!</definedName>
    <definedName name="SVOD27_SSUD_FL_USD05">#REF!</definedName>
    <definedName name="SVOD27_SSUD_FL_USD06">#REF!</definedName>
    <definedName name="SVOD27_SSUD_FL_USD07">#REF!</definedName>
    <definedName name="SVOD27_SSUD_FL_USD08">#REF!</definedName>
    <definedName name="SVOD27_SSUD_FL_USD09">#REF!</definedName>
    <definedName name="SVOD27_SSUD_FL_USD10">#REF!</definedName>
    <definedName name="SVOD27_SSUD_FL_USD11">#REF!</definedName>
    <definedName name="SVOD27_SSUD_FL_USD12">#REF!</definedName>
    <definedName name="SVOD27_SSUD_FL_USD13">#REF!</definedName>
    <definedName name="SVOD27_SSUD_MB_RUB01">#REF!</definedName>
    <definedName name="SVOD27_SSUD_MB_RUB02">#REF!</definedName>
    <definedName name="SVOD27_SSUD_MB_RUB03">#REF!</definedName>
    <definedName name="SVOD27_SSUD_MB_RUB04">#REF!</definedName>
    <definedName name="SVOD27_SSUD_MB_RUB05">#REF!</definedName>
    <definedName name="SVOD27_SSUD_MB_RUB06">#REF!</definedName>
    <definedName name="SVOD27_SSUD_MB_RUB07">#REF!</definedName>
    <definedName name="SVOD27_SSUD_MB_RUB08">#REF!</definedName>
    <definedName name="SVOD27_SSUD_MB_RUB09">#REF!</definedName>
    <definedName name="SVOD27_SSUD_MB_RUB10">#REF!</definedName>
    <definedName name="SVOD27_SSUD_MB_RUB11">#REF!</definedName>
    <definedName name="SVOD27_SSUD_MB_RUB12">#REF!</definedName>
    <definedName name="SVOD27_SSUD_MB_RUB13">#REF!</definedName>
    <definedName name="SVOD27_SSUD_MB_USD01">#REF!</definedName>
    <definedName name="SVOD27_SSUD_MB_USD02">#REF!</definedName>
    <definedName name="SVOD27_SSUD_MB_USD03">#REF!</definedName>
    <definedName name="SVOD27_SSUD_MB_USD04">#REF!</definedName>
    <definedName name="SVOD27_SSUD_MB_USD05">#REF!</definedName>
    <definedName name="SVOD27_SSUD_MB_USD06">#REF!</definedName>
    <definedName name="SVOD27_SSUD_MB_USD07">#REF!</definedName>
    <definedName name="SVOD27_SSUD_MB_USD08">#REF!</definedName>
    <definedName name="SVOD27_SSUD_MB_USD09">#REF!</definedName>
    <definedName name="SVOD27_SSUD_MB_USD10">#REF!</definedName>
    <definedName name="SVOD27_SSUD_MB_USD11">#REF!</definedName>
    <definedName name="SVOD27_SSUD_MB_USD12">#REF!</definedName>
    <definedName name="SVOD27_SSUD_MB_USD13">#REF!</definedName>
    <definedName name="SVOD27_SSUD_UL_RUB01">#REF!</definedName>
    <definedName name="SVOD27_SSUD_UL_RUB02">#REF!</definedName>
    <definedName name="SVOD27_SSUD_UL_RUB03">#REF!</definedName>
    <definedName name="SVOD27_SSUD_UL_RUB04">#REF!</definedName>
    <definedName name="SVOD27_SSUD_UL_RUB05">#REF!</definedName>
    <definedName name="SVOD27_SSUD_UL_RUB06">#REF!</definedName>
    <definedName name="SVOD27_SSUD_UL_RUB07">#REF!</definedName>
    <definedName name="SVOD27_SSUD_UL_RUB08">#REF!</definedName>
    <definedName name="SVOD27_SSUD_UL_RUB09">#REF!</definedName>
    <definedName name="SVOD27_SSUD_UL_RUB10">#REF!</definedName>
    <definedName name="SVOD27_SSUD_UL_RUB11">#REF!</definedName>
    <definedName name="SVOD27_SSUD_UL_RUB12">#REF!</definedName>
    <definedName name="SVOD27_SSUD_UL_RUB13">#REF!</definedName>
    <definedName name="SVOD27_SSUD_UL_USD01">#REF!</definedName>
    <definedName name="SVOD27_SSUD_UL_USD02">#REF!</definedName>
    <definedName name="SVOD27_SSUD_UL_USD03">#REF!</definedName>
    <definedName name="SVOD27_SSUD_UL_USD04">#REF!</definedName>
    <definedName name="SVOD27_SSUD_UL_USD05">#REF!</definedName>
    <definedName name="SVOD27_SSUD_UL_USD06">#REF!</definedName>
    <definedName name="SVOD27_SSUD_UL_USD07">#REF!</definedName>
    <definedName name="SVOD27_SSUD_UL_USD08">#REF!</definedName>
    <definedName name="SVOD27_SSUD_UL_USD09">#REF!</definedName>
    <definedName name="SVOD27_SSUD_UL_USD10">#REF!</definedName>
    <definedName name="SVOD27_SSUD_UL_USD11">#REF!</definedName>
    <definedName name="SVOD27_SSUD_UL_USD12">#REF!</definedName>
    <definedName name="SVOD27_SSUD_UL_USD13">#REF!</definedName>
    <definedName name="SVOD28_PROS_FL_RUB01">#REF!</definedName>
    <definedName name="SVOD28_PROS_FL_RUB02">#REF!</definedName>
    <definedName name="SVOD28_PROS_FL_RUB03">#REF!</definedName>
    <definedName name="SVOD28_PROS_FL_RUB04">#REF!</definedName>
    <definedName name="SVOD28_PROS_FL_RUB05">#REF!</definedName>
    <definedName name="SVOD28_PROS_FL_RUB06">#REF!</definedName>
    <definedName name="SVOD28_PROS_FL_RUB07">#REF!</definedName>
    <definedName name="SVOD28_PROS_FL_RUB08">#REF!</definedName>
    <definedName name="SVOD28_PROS_FL_RUB09">#REF!</definedName>
    <definedName name="SVOD28_PROS_FL_RUB10">#REF!</definedName>
    <definedName name="SVOD28_PROS_FL_RUB11">#REF!</definedName>
    <definedName name="SVOD28_PROS_FL_RUB12">#REF!</definedName>
    <definedName name="SVOD28_PROS_FL_RUB13">#REF!</definedName>
    <definedName name="SVOD28_PROS_FL_USD01">#REF!</definedName>
    <definedName name="SVOD28_PROS_FL_USD02">#REF!</definedName>
    <definedName name="SVOD28_PROS_FL_USD03">#REF!</definedName>
    <definedName name="SVOD28_PROS_FL_USD04">#REF!</definedName>
    <definedName name="SVOD28_PROS_FL_USD05">#REF!</definedName>
    <definedName name="SVOD28_PROS_FL_USD06">#REF!</definedName>
    <definedName name="SVOD28_PROS_FL_USD07">#REF!</definedName>
    <definedName name="SVOD28_PROS_FL_USD08">#REF!</definedName>
    <definedName name="SVOD28_PROS_FL_USD09">#REF!</definedName>
    <definedName name="SVOD28_PROS_FL_USD10">#REF!</definedName>
    <definedName name="SVOD28_PROS_FL_USD11">#REF!</definedName>
    <definedName name="SVOD28_PROS_FL_USD12">#REF!</definedName>
    <definedName name="SVOD28_PROS_FL_USD13">#REF!</definedName>
    <definedName name="SVOD28_PROS_MB_RUB01">#REF!</definedName>
    <definedName name="SVOD28_PROS_MB_RUB02">#REF!</definedName>
    <definedName name="SVOD28_PROS_MB_RUB03">#REF!</definedName>
    <definedName name="SVOD28_PROS_MB_RUB04">#REF!</definedName>
    <definedName name="SVOD28_PROS_MB_RUB05">#REF!</definedName>
    <definedName name="SVOD28_PROS_MB_RUB06">#REF!</definedName>
    <definedName name="SVOD28_PROS_MB_RUB07">#REF!</definedName>
    <definedName name="SVOD28_PROS_MB_RUB08">#REF!</definedName>
    <definedName name="SVOD28_PROS_MB_RUB09">#REF!</definedName>
    <definedName name="SVOD28_PROS_MB_RUB10">#REF!</definedName>
    <definedName name="SVOD28_PROS_MB_RUB11">#REF!</definedName>
    <definedName name="SVOD28_PROS_MB_RUB12">#REF!</definedName>
    <definedName name="SVOD28_PROS_MB_RUB13">#REF!</definedName>
    <definedName name="SVOD28_PROS_MB_USD01">#REF!</definedName>
    <definedName name="SVOD28_PROS_MB_USD02">#REF!</definedName>
    <definedName name="SVOD28_PROS_MB_USD03">#REF!</definedName>
    <definedName name="SVOD28_PROS_MB_USD04">#REF!</definedName>
    <definedName name="SVOD28_PROS_MB_USD05">#REF!</definedName>
    <definedName name="SVOD28_PROS_MB_USD06">#REF!</definedName>
    <definedName name="SVOD28_PROS_MB_USD07">#REF!</definedName>
    <definedName name="SVOD28_PROS_MB_USD08">#REF!</definedName>
    <definedName name="SVOD28_PROS_MB_USD09">#REF!</definedName>
    <definedName name="SVOD28_PROS_MB_USD10">#REF!</definedName>
    <definedName name="SVOD28_PROS_MB_USD11">#REF!</definedName>
    <definedName name="SVOD28_PROS_MB_USD12">#REF!</definedName>
    <definedName name="SVOD28_PROS_MB_USD13">#REF!</definedName>
    <definedName name="SVOD28_PROS_UL_RUB01">#REF!</definedName>
    <definedName name="SVOD28_PROS_UL_RUB02">#REF!</definedName>
    <definedName name="SVOD28_PROS_UL_RUB03">#REF!</definedName>
    <definedName name="SVOD28_PROS_UL_RUB04">#REF!</definedName>
    <definedName name="SVOD28_PROS_UL_RUB05">#REF!</definedName>
    <definedName name="SVOD28_PROS_UL_RUB06">#REF!</definedName>
    <definedName name="SVOD28_PROS_UL_RUB07">#REF!</definedName>
    <definedName name="SVOD28_PROS_UL_RUB08">#REF!</definedName>
    <definedName name="SVOD28_PROS_UL_RUB09">#REF!</definedName>
    <definedName name="SVOD28_PROS_UL_RUB10">#REF!</definedName>
    <definedName name="SVOD28_PROS_UL_RUB11">#REF!</definedName>
    <definedName name="SVOD28_PROS_UL_RUB12">#REF!</definedName>
    <definedName name="SVOD28_PROS_UL_RUB13">#REF!</definedName>
    <definedName name="SVOD28_PROS_UL_USD01">#REF!</definedName>
    <definedName name="SVOD28_PROS_UL_USD02">#REF!</definedName>
    <definedName name="SVOD28_PROS_UL_USD03">#REF!</definedName>
    <definedName name="SVOD28_PROS_UL_USD04">#REF!</definedName>
    <definedName name="SVOD28_PROS_UL_USD05">#REF!</definedName>
    <definedName name="SVOD28_PROS_UL_USD06">#REF!</definedName>
    <definedName name="SVOD28_PROS_UL_USD07">#REF!</definedName>
    <definedName name="SVOD28_PROS_UL_USD08">#REF!</definedName>
    <definedName name="SVOD28_PROS_UL_USD09">#REF!</definedName>
    <definedName name="SVOD28_PROS_UL_USD10">#REF!</definedName>
    <definedName name="SVOD28_PROS_UL_USD11">#REF!</definedName>
    <definedName name="SVOD28_PROS_UL_USD12">#REF!</definedName>
    <definedName name="SVOD28_PROS_UL_USD13">#REF!</definedName>
    <definedName name="SVOD3_IT3_1" hidden="1">#NAME?</definedName>
    <definedName name="SVOD3_IT3_4" hidden="1">#NAME?</definedName>
    <definedName name="SVOD3_IT3_5" hidden="1">#NAME?</definedName>
    <definedName name="SVOD3_STR3_1_1" hidden="1">#NAME?</definedName>
    <definedName name="SVOD3_STR3_1_3" hidden="1">#NAME?</definedName>
    <definedName name="SVOD3_STR3_1_4" hidden="1">#NAME?</definedName>
    <definedName name="SVOD3_STR3_1_5" hidden="1">#NAME?</definedName>
    <definedName name="SVOD3_STR3_2_1" hidden="1">#NAME?</definedName>
    <definedName name="SVOD3_STR3_2_3" hidden="1">#NAME?</definedName>
    <definedName name="SVOD3_STR3_2_4" hidden="1">#NAME?</definedName>
    <definedName name="SVOD3_STR3_2_5" hidden="1">#NAME?</definedName>
    <definedName name="SVOD3_STR3_3_1" hidden="1">#NAME?</definedName>
    <definedName name="SVOD3_STR3_3_3" hidden="1">#NAME?</definedName>
    <definedName name="SVOD3_STR3_3_4" hidden="1">#NAME?</definedName>
    <definedName name="SVOD3_STR3_3_5" hidden="1">#NAME?</definedName>
    <definedName name="SVOD3_STR3_4_1" hidden="1">#NAME?</definedName>
    <definedName name="SVOD3_STR3_4_3" hidden="1">#NAME?</definedName>
    <definedName name="SVOD3_STR3_4_4" hidden="1">#NAME?</definedName>
    <definedName name="SVOD3_STR3_4_5" hidden="1">#NAME?</definedName>
    <definedName name="SVOD3_STR3_5_1" hidden="1">#NAME?</definedName>
    <definedName name="SVOD3_STR3_5_3" hidden="1">#NAME?</definedName>
    <definedName name="SVOD3_STR3_5_4" hidden="1">#NAME?</definedName>
    <definedName name="SVOD3_STR3_5_5" hidden="1">#NAME?</definedName>
    <definedName name="SVOD3_STR3_6_1" hidden="1">#NAME?</definedName>
    <definedName name="SVOD3_STR3_6_4" hidden="1">#NAME?</definedName>
    <definedName name="SVOD3_STR3_6_5" hidden="1">#NAME?</definedName>
    <definedName name="SVOD35_SUM01_2_1">#REF!</definedName>
    <definedName name="SVOD35_SUM01_2_2">#REF!</definedName>
    <definedName name="SVOD35_SUM01_2_3">#REF!</definedName>
    <definedName name="SVOD35_SUM01_3_2">#REF!</definedName>
    <definedName name="SVOD35_SUM01_3_4">#REF!</definedName>
    <definedName name="SVOD35_SUM02_1">#REF!</definedName>
    <definedName name="SVOD35_SUM02_10">#REF!</definedName>
    <definedName name="SVOD35_SUM02_11">#REF!</definedName>
    <definedName name="SVOD35_SUM02_12">#REF!</definedName>
    <definedName name="SVOD35_SUM02_13">#REF!</definedName>
    <definedName name="SVOD35_SUM02_2">#REF!</definedName>
    <definedName name="SVOD35_SUM02_2_1">#REF!</definedName>
    <definedName name="SVOD35_SUM02_2_2">#REF!</definedName>
    <definedName name="SVOD35_SUM02_2_3">#REF!</definedName>
    <definedName name="SVOD35_SUM02_3">#REF!</definedName>
    <definedName name="SVOD35_SUM02_3_1">#REF!</definedName>
    <definedName name="SVOD35_SUM02_3_2">#REF!</definedName>
    <definedName name="SVOD35_SUM02_3_3">#REF!</definedName>
    <definedName name="SVOD35_SUM02_3_4">#REF!</definedName>
    <definedName name="SVOD35_SUM02_3_5">#REF!</definedName>
    <definedName name="SVOD35_SUM02_3_6">#REF!</definedName>
    <definedName name="SVOD35_SUM02_3_7">#REF!</definedName>
    <definedName name="SVOD35_SUM02_4">#REF!</definedName>
    <definedName name="SVOD35_SUM02_5">#REF!</definedName>
    <definedName name="SVOD35_SUM02_6">#REF!</definedName>
    <definedName name="SVOD35_SUM02_6_1">#REF!</definedName>
    <definedName name="SVOD35_SUM02_7">#REF!</definedName>
    <definedName name="SVOD35_SUM02_8">#REF!</definedName>
    <definedName name="SVOD35_SUM02_9">#REF!</definedName>
    <definedName name="SVOD35_SUM03_1">#REF!</definedName>
    <definedName name="SVOD35_SUM03_10">#REF!</definedName>
    <definedName name="SVOD35_SUM03_11">#REF!</definedName>
    <definedName name="SVOD35_SUM03_12">#REF!</definedName>
    <definedName name="SVOD35_SUM03_13">#REF!</definedName>
    <definedName name="SVOD35_SUM03_2">#REF!</definedName>
    <definedName name="SVOD35_SUM03_2_1">#REF!</definedName>
    <definedName name="SVOD35_SUM03_2_2">#REF!</definedName>
    <definedName name="SVOD35_SUM03_2_3">#REF!</definedName>
    <definedName name="SVOD35_SUM03_3">#REF!</definedName>
    <definedName name="SVOD35_SUM03_3_1">#REF!</definedName>
    <definedName name="SVOD35_SUM03_3_2">#REF!</definedName>
    <definedName name="SVOD35_SUM03_3_3">#REF!</definedName>
    <definedName name="SVOD35_SUM03_3_4">#REF!</definedName>
    <definedName name="SVOD35_SUM03_3_5">#REF!</definedName>
    <definedName name="SVOD35_SUM03_3_6">#REF!</definedName>
    <definedName name="SVOD35_SUM03_3_7">#REF!</definedName>
    <definedName name="SVOD35_SUM03_4">#REF!</definedName>
    <definedName name="SVOD35_SUM03_5">#REF!</definedName>
    <definedName name="SVOD35_SUM03_6">#REF!</definedName>
    <definedName name="SVOD35_SUM03_6_1">#REF!</definedName>
    <definedName name="SVOD35_SUM03_7">#REF!</definedName>
    <definedName name="SVOD35_SUM03_8">#REF!</definedName>
    <definedName name="SVOD35_SUM03_9">#REF!</definedName>
    <definedName name="SVOD35_SUM04_1">#REF!</definedName>
    <definedName name="SVOD35_SUM04_10">#REF!</definedName>
    <definedName name="SVOD35_SUM04_11">#REF!</definedName>
    <definedName name="SVOD35_SUM04_12">#REF!</definedName>
    <definedName name="SVOD35_SUM04_13">#REF!</definedName>
    <definedName name="SVOD35_SUM04_2">#REF!</definedName>
    <definedName name="SVOD35_SUM04_2_1">#REF!</definedName>
    <definedName name="SVOD35_SUM04_2_2">#REF!</definedName>
    <definedName name="SVOD35_SUM04_2_3">#REF!</definedName>
    <definedName name="SVOD35_SUM04_3">#REF!</definedName>
    <definedName name="SVOD35_SUM04_3_1">#REF!</definedName>
    <definedName name="SVOD35_SUM04_3_2">#REF!</definedName>
    <definedName name="SVOD35_SUM04_3_3">#REF!</definedName>
    <definedName name="SVOD35_SUM04_3_4">#REF!</definedName>
    <definedName name="SVOD35_SUM04_3_5">#REF!</definedName>
    <definedName name="SVOD35_SUM04_3_6">#REF!</definedName>
    <definedName name="SVOD35_SUM04_3_7">#REF!</definedName>
    <definedName name="SVOD35_SUM04_4">#REF!</definedName>
    <definedName name="SVOD35_SUM04_5">#REF!</definedName>
    <definedName name="SVOD35_SUM04_6">#REF!</definedName>
    <definedName name="SVOD35_SUM04_6_1">#REF!</definedName>
    <definedName name="SVOD35_SUM04_7">#REF!</definedName>
    <definedName name="SVOD35_SUM04_8">#REF!</definedName>
    <definedName name="SVOD35_SUM04_9">#REF!</definedName>
    <definedName name="SVOD35_SUM05_1">#REF!</definedName>
    <definedName name="SVOD35_SUM05_10">#REF!</definedName>
    <definedName name="SVOD35_SUM05_11">#REF!</definedName>
    <definedName name="SVOD35_SUM05_12">#REF!</definedName>
    <definedName name="SVOD35_SUM05_13">#REF!</definedName>
    <definedName name="SVOD35_SUM05_2">#REF!</definedName>
    <definedName name="SVOD35_SUM05_2_1">#REF!</definedName>
    <definedName name="SVOD35_SUM05_2_2">#REF!</definedName>
    <definedName name="SVOD35_SUM05_2_3">#REF!</definedName>
    <definedName name="SVOD35_SUM05_3">#REF!</definedName>
    <definedName name="SVOD35_SUM05_3_1">#REF!</definedName>
    <definedName name="SVOD35_SUM05_3_2">#REF!</definedName>
    <definedName name="SVOD35_SUM05_3_3">#REF!</definedName>
    <definedName name="SVOD35_SUM05_3_4">#REF!</definedName>
    <definedName name="SVOD35_SUM05_3_5">#REF!</definedName>
    <definedName name="SVOD35_SUM05_3_6">#REF!</definedName>
    <definedName name="SVOD35_SUM05_3_7">#REF!</definedName>
    <definedName name="SVOD35_SUM05_4">#REF!</definedName>
    <definedName name="SVOD35_SUM05_5">#REF!</definedName>
    <definedName name="SVOD35_SUM05_6">#REF!</definedName>
    <definedName name="SVOD35_SUM05_6_1">#REF!</definedName>
    <definedName name="SVOD35_SUM05_7">#REF!</definedName>
    <definedName name="SVOD35_SUM05_8">#REF!</definedName>
    <definedName name="SVOD35_SUM05_9">#REF!</definedName>
    <definedName name="SVOD36_RUB01_1">#REF!</definedName>
    <definedName name="SVOD36_RUB01_2">#REF!</definedName>
    <definedName name="SVOD36_RUB01_3">#REF!</definedName>
    <definedName name="SVOD36_RUB01_4">#REF!</definedName>
    <definedName name="SVOD36_RUB01_5">#REF!</definedName>
    <definedName name="SVOD36_RUB01_6">#REF!</definedName>
    <definedName name="SVOD36_RUB01_7">#REF!</definedName>
    <definedName name="SVOD36_RUB02_1">#REF!</definedName>
    <definedName name="SVOD36_RUB02_2">#REF!</definedName>
    <definedName name="SVOD36_RUB02_3">#REF!</definedName>
    <definedName name="SVOD36_RUB02_4">#REF!</definedName>
    <definedName name="SVOD36_RUB02_5">#REF!</definedName>
    <definedName name="SVOD36_RUB02_6">#REF!</definedName>
    <definedName name="SVOD36_RUB02_7">#REF!</definedName>
    <definedName name="SVOD36_RUB03_1">#REF!</definedName>
    <definedName name="SVOD36_RUB03_2">#REF!</definedName>
    <definedName name="SVOD36_RUB03_3">#REF!</definedName>
    <definedName name="SVOD36_RUB03_4">#REF!</definedName>
    <definedName name="SVOD36_RUB03_5">#REF!</definedName>
    <definedName name="SVOD36_RUB03_6">#REF!</definedName>
    <definedName name="SVOD36_RUB03_7">#REF!</definedName>
    <definedName name="SVOD36_RUB04_1">#REF!</definedName>
    <definedName name="SVOD36_RUB04_2">#REF!</definedName>
    <definedName name="SVOD36_RUB04_3">#REF!</definedName>
    <definedName name="SVOD36_RUB04_4">#REF!</definedName>
    <definedName name="SVOD36_RUB04_5">#REF!</definedName>
    <definedName name="SVOD36_RUB04_6">#REF!</definedName>
    <definedName name="SVOD36_RUB04_7">#REF!</definedName>
    <definedName name="SVOD36_RUB05_1">#REF!</definedName>
    <definedName name="SVOD36_RUB05_2">#REF!</definedName>
    <definedName name="SVOD36_RUB05_3">#REF!</definedName>
    <definedName name="SVOD36_RUB05_4">#REF!</definedName>
    <definedName name="SVOD36_RUB05_5">#REF!</definedName>
    <definedName name="SVOD36_RUB05_6">#REF!</definedName>
    <definedName name="SVOD36_RUB05_7">#REF!</definedName>
    <definedName name="SVOD37_RUB01_1">#REF!</definedName>
    <definedName name="SVOD37_RUB01_2">#REF!</definedName>
    <definedName name="SVOD37_RUB01_3">#REF!</definedName>
    <definedName name="SVOD37_RUB01_4">#REF!</definedName>
    <definedName name="SVOD37_RUB01_5">#REF!</definedName>
    <definedName name="SVOD37_RUB01_6">#REF!</definedName>
    <definedName name="SVOD37_RUB01_7">#REF!</definedName>
    <definedName name="SVOD37_RUB02_1">#REF!</definedName>
    <definedName name="SVOD37_RUB02_2">#REF!</definedName>
    <definedName name="SVOD37_RUB02_3">#REF!</definedName>
    <definedName name="SVOD37_RUB02_4">#REF!</definedName>
    <definedName name="SVOD37_RUB02_5">#REF!</definedName>
    <definedName name="SVOD37_RUB02_6">#REF!</definedName>
    <definedName name="SVOD37_RUB02_7">#REF!</definedName>
    <definedName name="SVOD37_RUB03_1">#REF!</definedName>
    <definedName name="SVOD37_RUB03_2">#REF!</definedName>
    <definedName name="SVOD37_RUB03_3">#REF!</definedName>
    <definedName name="SVOD37_RUB03_4">#REF!</definedName>
    <definedName name="SVOD37_RUB03_5">#REF!</definedName>
    <definedName name="SVOD37_RUB03_6">#REF!</definedName>
    <definedName name="SVOD37_RUB03_7">#REF!</definedName>
    <definedName name="SVOD37_RUB04_1">#REF!</definedName>
    <definedName name="SVOD37_RUB04_2">#REF!</definedName>
    <definedName name="SVOD37_RUB04_3">#REF!</definedName>
    <definedName name="SVOD37_RUB04_4">#REF!</definedName>
    <definedName name="SVOD37_RUB04_5">#REF!</definedName>
    <definedName name="SVOD37_RUB04_6">#REF!</definedName>
    <definedName name="SVOD37_RUB04_7">#REF!</definedName>
    <definedName name="SVOD37_RUB05_1">#REF!</definedName>
    <definedName name="SVOD37_RUB05_2">#REF!</definedName>
    <definedName name="SVOD37_RUB05_3">#REF!</definedName>
    <definedName name="SVOD37_RUB05_4">#REF!</definedName>
    <definedName name="SVOD37_RUB05_5">#REF!</definedName>
    <definedName name="SVOD37_RUB05_6">#REF!</definedName>
    <definedName name="SVOD37_RUB05_7">#REF!</definedName>
    <definedName name="SVOD37_USD01_1">#REF!</definedName>
    <definedName name="SVOD37_USD01_2">#REF!</definedName>
    <definedName name="SVOD37_USD01_3">#REF!</definedName>
    <definedName name="SVOD37_USD01_4">#REF!</definedName>
    <definedName name="SVOD37_USD01_5">#REF!</definedName>
    <definedName name="SVOD37_USD01_6">#REF!</definedName>
    <definedName name="SVOD37_USD01_7">#REF!</definedName>
    <definedName name="SVOD37_USD02_1">#REF!</definedName>
    <definedName name="SVOD37_USD02_2">#REF!</definedName>
    <definedName name="SVOD37_USD02_3">#REF!</definedName>
    <definedName name="SVOD37_USD02_4">#REF!</definedName>
    <definedName name="SVOD37_USD02_5">#REF!</definedName>
    <definedName name="SVOD37_USD02_6">#REF!</definedName>
    <definedName name="SVOD37_USD02_7">#REF!</definedName>
    <definedName name="SVOD37_USD03_1">#REF!</definedName>
    <definedName name="SVOD37_USD03_2">#REF!</definedName>
    <definedName name="SVOD37_USD03_3">#REF!</definedName>
    <definedName name="SVOD37_USD03_4">#REF!</definedName>
    <definedName name="SVOD37_USD03_5">#REF!</definedName>
    <definedName name="SVOD37_USD03_6">#REF!</definedName>
    <definedName name="SVOD37_USD03_7">#REF!</definedName>
    <definedName name="SVOD37_USD04_1">#REF!</definedName>
    <definedName name="SVOD37_USD04_2">#REF!</definedName>
    <definedName name="SVOD37_USD04_3">#REF!</definedName>
    <definedName name="SVOD37_USD04_4">#REF!</definedName>
    <definedName name="SVOD37_USD04_5">#REF!</definedName>
    <definedName name="SVOD37_USD04_6">#REF!</definedName>
    <definedName name="SVOD37_USD04_7">#REF!</definedName>
    <definedName name="SVOD37_USD05_1">#REF!</definedName>
    <definedName name="SVOD37_USD05_2">#REF!</definedName>
    <definedName name="SVOD37_USD05_3">#REF!</definedName>
    <definedName name="SVOD37_USD05_4">#REF!</definedName>
    <definedName name="SVOD37_USD05_5">#REF!</definedName>
    <definedName name="SVOD37_USD05_6">#REF!</definedName>
    <definedName name="SVOD37_USD05_7">#REF!</definedName>
    <definedName name="SVOD4_IT4_1" hidden="1">#NAME?</definedName>
    <definedName name="SVOD4_IT4_4" hidden="1">#NAME?</definedName>
    <definedName name="SVOD4_IT4_5" hidden="1">#NAME?</definedName>
    <definedName name="SVOD4_STR4_1_1" hidden="1">#NAME?</definedName>
    <definedName name="SVOD4_STR4_1_4" hidden="1">#NAME?</definedName>
    <definedName name="SVOD4_STR4_1_5" hidden="1">#NAME?</definedName>
    <definedName name="SVOD4_STR4_2_1" hidden="1">#NAME?</definedName>
    <definedName name="SVOD4_STR4_2_4" hidden="1">#NAME?</definedName>
    <definedName name="SVOD4_STR4_2_5" hidden="1">#NAME?</definedName>
    <definedName name="SVOD4_STR4_3_1" hidden="1">#NAME?</definedName>
    <definedName name="SVOD4_STR4_3_3" hidden="1">#NAME?</definedName>
    <definedName name="SVOD4_STR4_3_4" hidden="1">#NAME?</definedName>
    <definedName name="SVOD4_STR4_3_5" hidden="1">#NAME?</definedName>
    <definedName name="SVOD4_STR4_4_1" hidden="1">#NAME?</definedName>
    <definedName name="SVOD4_STR4_4_3" hidden="1">#NAME?</definedName>
    <definedName name="SVOD4_STR4_4_4" hidden="1">#NAME?</definedName>
    <definedName name="SVOD4_STR4_4_5" hidden="1">#NAME?</definedName>
    <definedName name="SVOD5_BAL_PASS_1" hidden="1">#NAME?</definedName>
    <definedName name="SVOD5_BAL_PASS_4" hidden="1">#NAME?</definedName>
    <definedName name="SVOD5_BAL_PASS_5" hidden="1">#NAME?</definedName>
    <definedName name="SVOD5_IT5_1" hidden="1">#NAME?</definedName>
    <definedName name="SVOD5_IT5_4" hidden="1">#NAME?</definedName>
    <definedName name="SVOD5_IT5_5" hidden="1">#NAME?</definedName>
    <definedName name="SVOD5_STR5_1_1" hidden="1">#NAME?</definedName>
    <definedName name="SVOD5_STR5_1_4" hidden="1">#NAME?</definedName>
    <definedName name="SVOD5_STR5_1_5" hidden="1">#NAME?</definedName>
    <definedName name="SVOD5_STR5_2_1" hidden="1">#NAME?</definedName>
    <definedName name="SVOD5_STR5_2_4" hidden="1">#NAME?</definedName>
    <definedName name="SVOD5_STR5_2_5" hidden="1">#NAME?</definedName>
    <definedName name="SVOD5_STR5_3_1" hidden="1">#NAME?</definedName>
    <definedName name="SVOD5_STR5_3_4" hidden="1">#NAME?</definedName>
    <definedName name="SVOD5_STR5_3_5" hidden="1">#NAME?</definedName>
    <definedName name="SVOD5_STR5_4_1" hidden="1">#NAME?</definedName>
    <definedName name="SVOD5_STR5_4_4" hidden="1">#NAME?</definedName>
    <definedName name="SVOD5_STR5_4_5" hidden="1">#NAME?</definedName>
    <definedName name="SVOD5_STR5_5_1" hidden="1">#NAME?</definedName>
    <definedName name="SVOD5_STR5_5_4" hidden="1">#NAME?</definedName>
    <definedName name="SVOD5_STR5_5_5" hidden="1">#NAME?</definedName>
    <definedName name="SVODD_POK01_1">#REF!</definedName>
    <definedName name="SVODD_POK01_10">#REF!</definedName>
    <definedName name="SVODD_POK01_11">#REF!</definedName>
    <definedName name="SVODD_POK01_12">#REF!</definedName>
    <definedName name="SVODD_POK01_13">#REF!</definedName>
    <definedName name="SVODD_POK01_14">#REF!</definedName>
    <definedName name="SVODD_POK01_15">#REF!</definedName>
    <definedName name="SVODD_POK01_16">#REF!</definedName>
    <definedName name="SVODD_POK01_17">#REF!</definedName>
    <definedName name="SVODD_POK01_18">#REF!</definedName>
    <definedName name="SVODD_POK01_19">#REF!</definedName>
    <definedName name="SVODD_POK01_2">#REF!</definedName>
    <definedName name="SVODD_POK01_20">#REF!</definedName>
    <definedName name="SVODD_POK01_21">#REF!</definedName>
    <definedName name="SVODD_POK01_22">#REF!</definedName>
    <definedName name="SVODD_POK01_23">#REF!</definedName>
    <definedName name="SVODD_POK01_3">#REF!</definedName>
    <definedName name="SVODD_POK01_4">#REF!</definedName>
    <definedName name="SVODD_POK01_5">#REF!</definedName>
    <definedName name="SVODD_POK01_6">#REF!</definedName>
    <definedName name="SVODD_POK01_7">#REF!</definedName>
    <definedName name="SVODD_POK01_8">#REF!</definedName>
    <definedName name="SVODD_POK01_9">#REF!</definedName>
    <definedName name="SVODD_POK02_1">#REF!</definedName>
    <definedName name="SVODD_POK02_10">#REF!</definedName>
    <definedName name="SVODD_POK02_11">#REF!</definedName>
    <definedName name="SVODD_POK02_12">#REF!</definedName>
    <definedName name="SVODD_POK02_13">#REF!</definedName>
    <definedName name="SVODD_POK02_14">#REF!</definedName>
    <definedName name="SVODD_POK02_15">#REF!</definedName>
    <definedName name="SVODD_POK02_16">#REF!</definedName>
    <definedName name="SVODD_POK02_17">#REF!</definedName>
    <definedName name="SVODD_POK02_18">#REF!</definedName>
    <definedName name="SVODD_POK02_19">#REF!</definedName>
    <definedName name="SVODD_POK02_2">#REF!</definedName>
    <definedName name="SVODD_POK02_20">#REF!</definedName>
    <definedName name="SVODD_POK02_21">#REF!</definedName>
    <definedName name="SVODD_POK02_22">#REF!</definedName>
    <definedName name="SVODD_POK02_23">#REF!</definedName>
    <definedName name="SVODD_POK02_3">#REF!</definedName>
    <definedName name="SVODD_POK02_4">#REF!</definedName>
    <definedName name="SVODD_POK02_5">#REF!</definedName>
    <definedName name="SVODD_POK02_6">#REF!</definedName>
    <definedName name="SVODD_POK02_7">#REF!</definedName>
    <definedName name="SVODD_POK02_8">#REF!</definedName>
    <definedName name="SVODD_POK02_9">#REF!</definedName>
    <definedName name="SVODD_POK03_1">#REF!</definedName>
    <definedName name="SVODD_POK03_10">#REF!</definedName>
    <definedName name="SVODD_POK03_11">#REF!</definedName>
    <definedName name="SVODD_POK03_12">#REF!</definedName>
    <definedName name="SVODD_POK03_13">#REF!</definedName>
    <definedName name="SVODD_POK03_14">#REF!</definedName>
    <definedName name="SVODD_POK03_15">#REF!</definedName>
    <definedName name="SVODD_POK03_16">#REF!</definedName>
    <definedName name="SVODD_POK03_17">#REF!</definedName>
    <definedName name="SVODD_POK03_18">#REF!</definedName>
    <definedName name="SVODD_POK03_19">#REF!</definedName>
    <definedName name="SVODD_POK03_2">#REF!</definedName>
    <definedName name="SVODD_POK03_20">#REF!</definedName>
    <definedName name="SVODD_POK03_21">#REF!</definedName>
    <definedName name="SVODD_POK03_22">#REF!</definedName>
    <definedName name="SVODD_POK03_23">#REF!</definedName>
    <definedName name="SVODD_POK03_3">#REF!</definedName>
    <definedName name="SVODD_POK03_4">#REF!</definedName>
    <definedName name="SVODD_POK03_5">#REF!</definedName>
    <definedName name="SVODD_POK03_6">#REF!</definedName>
    <definedName name="SVODD_POK03_7">#REF!</definedName>
    <definedName name="SVODD_POK03_8">#REF!</definedName>
    <definedName name="SVODD_POK03_9">#REF!</definedName>
    <definedName name="SVODD_POK04_1">#REF!</definedName>
    <definedName name="SVODD_POK04_10">#REF!</definedName>
    <definedName name="SVODD_POK04_11">#REF!</definedName>
    <definedName name="SVODD_POK04_12">#REF!</definedName>
    <definedName name="SVODD_POK04_13">#REF!</definedName>
    <definedName name="SVODD_POK04_14">#REF!</definedName>
    <definedName name="SVODD_POK04_15">#REF!</definedName>
    <definedName name="SVODD_POK04_16">#REF!</definedName>
    <definedName name="SVODD_POK04_17">#REF!</definedName>
    <definedName name="SVODD_POK04_18">#REF!</definedName>
    <definedName name="SVODD_POK04_19">#REF!</definedName>
    <definedName name="SVODD_POK04_2">#REF!</definedName>
    <definedName name="SVODD_POK04_20">#REF!</definedName>
    <definedName name="SVODD_POK04_21">#REF!</definedName>
    <definedName name="SVODD_POK04_22">#REF!</definedName>
    <definedName name="SVODD_POK04_23">#REF!</definedName>
    <definedName name="SVODD_POK04_3">#REF!</definedName>
    <definedName name="SVODD_POK04_4">#REF!</definedName>
    <definedName name="SVODD_POK04_5">#REF!</definedName>
    <definedName name="SVODD_POK04_6">#REF!</definedName>
    <definedName name="SVODD_POK04_7">#REF!</definedName>
    <definedName name="SVODD_POK04_8">#REF!</definedName>
    <definedName name="SVODD_POK04_9">#REF!</definedName>
    <definedName name="SVODD_POK05_1">#REF!</definedName>
    <definedName name="SVODD_POK05_10">#REF!</definedName>
    <definedName name="SVODD_POK05_11">#REF!</definedName>
    <definedName name="SVODD_POK05_12">#REF!</definedName>
    <definedName name="SVODD_POK05_13">#REF!</definedName>
    <definedName name="SVODD_POK05_14">#REF!</definedName>
    <definedName name="SVODD_POK05_15">#REF!</definedName>
    <definedName name="SVODD_POK05_16">#REF!</definedName>
    <definedName name="SVODD_POK05_17">#REF!</definedName>
    <definedName name="SVODD_POK05_18">#REF!</definedName>
    <definedName name="SVODD_POK05_19">#REF!</definedName>
    <definedName name="SVODD_POK05_2">#REF!</definedName>
    <definedName name="SVODD_POK05_20">#REF!</definedName>
    <definedName name="SVODD_POK05_21">#REF!</definedName>
    <definedName name="SVODD_POK05_22">#REF!</definedName>
    <definedName name="SVODD_POK05_23">#REF!</definedName>
    <definedName name="SVODD_POK05_3">#REF!</definedName>
    <definedName name="SVODD_POK05_4">#REF!</definedName>
    <definedName name="SVODD_POK05_5">#REF!</definedName>
    <definedName name="SVODD_POK05_6">#REF!</definedName>
    <definedName name="SVODD_POK05_7">#REF!</definedName>
    <definedName name="SVODD_POK05_8">#REF!</definedName>
    <definedName name="SVODD_POK05_9">#REF!</definedName>
    <definedName name="SVODD_POK06_1">#REF!</definedName>
    <definedName name="SVODD_POK06_10">#REF!</definedName>
    <definedName name="SVODD_POK06_11">#REF!</definedName>
    <definedName name="SVODD_POK06_12">#REF!</definedName>
    <definedName name="SVODD_POK06_13">#REF!</definedName>
    <definedName name="SVODD_POK06_14">#REF!</definedName>
    <definedName name="SVODD_POK06_15">#REF!</definedName>
    <definedName name="SVODD_POK06_16">#REF!</definedName>
    <definedName name="SVODD_POK06_17">#REF!</definedName>
    <definedName name="SVODD_POK06_18">#REF!</definedName>
    <definedName name="SVODD_POK06_19">#REF!</definedName>
    <definedName name="SVODD_POK06_2">#REF!</definedName>
    <definedName name="SVODD_POK06_20">#REF!</definedName>
    <definedName name="SVODD_POK06_21">#REF!</definedName>
    <definedName name="SVODD_POK06_22">#REF!</definedName>
    <definedName name="SVODD_POK06_23">#REF!</definedName>
    <definedName name="SVODD_POK06_3">#REF!</definedName>
    <definedName name="SVODD_POK06_4">#REF!</definedName>
    <definedName name="SVODD_POK06_5">#REF!</definedName>
    <definedName name="SVODD_POK06_6">#REF!</definedName>
    <definedName name="SVODD_POK06_7">#REF!</definedName>
    <definedName name="SVODD_POK06_8">#REF!</definedName>
    <definedName name="SVODD_POK06_9">#REF!</definedName>
    <definedName name="SVODD_POK07_1">#REF!</definedName>
    <definedName name="SVODD_POK07_10">#REF!</definedName>
    <definedName name="SVODD_POK07_11">#REF!</definedName>
    <definedName name="SVODD_POK07_12">#REF!</definedName>
    <definedName name="SVODD_POK07_13">#REF!</definedName>
    <definedName name="SVODD_POK07_14">#REF!</definedName>
    <definedName name="SVODD_POK07_15">#REF!</definedName>
    <definedName name="SVODD_POK07_16">#REF!</definedName>
    <definedName name="SVODD_POK07_17">#REF!</definedName>
    <definedName name="SVODD_POK07_18">#REF!</definedName>
    <definedName name="SVODD_POK07_19">#REF!</definedName>
    <definedName name="SVODD_POK07_2">#REF!</definedName>
    <definedName name="SVODD_POK07_20">#REF!</definedName>
    <definedName name="SVODD_POK07_21">#REF!</definedName>
    <definedName name="SVODD_POK07_22">#REF!</definedName>
    <definedName name="SVODD_POK07_23">#REF!</definedName>
    <definedName name="SVODD_POK07_3">#REF!</definedName>
    <definedName name="SVODD_POK07_4">#REF!</definedName>
    <definedName name="SVODD_POK07_5">#REF!</definedName>
    <definedName name="SVODD_POK07_6">#REF!</definedName>
    <definedName name="SVODD_POK07_7">#REF!</definedName>
    <definedName name="SVODD_POK07_8">#REF!</definedName>
    <definedName name="SVODD_POK07_9">#REF!</definedName>
    <definedName name="SVODD_POK08_1">#REF!</definedName>
    <definedName name="SVODD_POK08_10">#REF!</definedName>
    <definedName name="SVODD_POK08_11">#REF!</definedName>
    <definedName name="SVODD_POK08_12">#REF!</definedName>
    <definedName name="SVODD_POK08_13">#REF!</definedName>
    <definedName name="SVODD_POK08_14">#REF!</definedName>
    <definedName name="SVODD_POK08_15">#REF!</definedName>
    <definedName name="SVODD_POK08_16">#REF!</definedName>
    <definedName name="SVODD_POK08_17">#REF!</definedName>
    <definedName name="SVODD_POK08_18">#REF!</definedName>
    <definedName name="SVODD_POK08_19">#REF!</definedName>
    <definedName name="SVODD_POK08_2">#REF!</definedName>
    <definedName name="SVODD_POK08_20">#REF!</definedName>
    <definedName name="SVODD_POK08_21">#REF!</definedName>
    <definedName name="SVODD_POK08_22">#REF!</definedName>
    <definedName name="SVODD_POK08_23">#REF!</definedName>
    <definedName name="SVODD_POK08_3">#REF!</definedName>
    <definedName name="SVODD_POK08_4">#REF!</definedName>
    <definedName name="SVODD_POK08_5">#REF!</definedName>
    <definedName name="SVODD_POK08_6">#REF!</definedName>
    <definedName name="SVODD_POK08_7">#REF!</definedName>
    <definedName name="SVODD_POK08_8">#REF!</definedName>
    <definedName name="SVODD_POK08_9">#REF!</definedName>
    <definedName name="SVODD_POK09_1">#REF!</definedName>
    <definedName name="SVODD_POK09_10">#REF!</definedName>
    <definedName name="SVODD_POK09_11">#REF!</definedName>
    <definedName name="SVODD_POK09_12">#REF!</definedName>
    <definedName name="SVODD_POK09_13">#REF!</definedName>
    <definedName name="SVODD_POK09_14">#REF!</definedName>
    <definedName name="SVODD_POK09_15">#REF!</definedName>
    <definedName name="SVODD_POK09_16">#REF!</definedName>
    <definedName name="SVODD_POK09_17">#REF!</definedName>
    <definedName name="SVODD_POK09_18">#REF!</definedName>
    <definedName name="SVODD_POK09_19">#REF!</definedName>
    <definedName name="SVODD_POK09_2">#REF!</definedName>
    <definedName name="SVODD_POK09_20">#REF!</definedName>
    <definedName name="SVODD_POK09_21">#REF!</definedName>
    <definedName name="SVODD_POK09_22">#REF!</definedName>
    <definedName name="SVODD_POK09_23">#REF!</definedName>
    <definedName name="SVODD_POK09_3">#REF!</definedName>
    <definedName name="SVODD_POK09_4">#REF!</definedName>
    <definedName name="SVODD_POK09_5">#REF!</definedName>
    <definedName name="SVODD_POK09_6">#REF!</definedName>
    <definedName name="SVODD_POK09_7">#REF!</definedName>
    <definedName name="SVODD_POK09_8">#REF!</definedName>
    <definedName name="SVODD_POK09_9">#REF!</definedName>
    <definedName name="SVODD_POK10_1">#REF!</definedName>
    <definedName name="SVODD_POK10_10">#REF!</definedName>
    <definedName name="SVODD_POK10_11">#REF!</definedName>
    <definedName name="SVODD_POK10_12">#REF!</definedName>
    <definedName name="SVODD_POK10_13">#REF!</definedName>
    <definedName name="SVODD_POK10_14">#REF!</definedName>
    <definedName name="SVODD_POK10_15">#REF!</definedName>
    <definedName name="SVODD_POK10_16">#REF!</definedName>
    <definedName name="SVODD_POK10_17">#REF!</definedName>
    <definedName name="SVODD_POK10_18">#REF!</definedName>
    <definedName name="SVODD_POK10_19">#REF!</definedName>
    <definedName name="SVODD_POK10_2">#REF!</definedName>
    <definedName name="SVODD_POK10_20">#REF!</definedName>
    <definedName name="SVODD_POK10_21">#REF!</definedName>
    <definedName name="SVODD_POK10_22">#REF!</definedName>
    <definedName name="SVODD_POK10_23">#REF!</definedName>
    <definedName name="SVODD_POK10_3">#REF!</definedName>
    <definedName name="SVODD_POK10_4">#REF!</definedName>
    <definedName name="SVODD_POK10_5">#REF!</definedName>
    <definedName name="SVODD_POK10_6">#REF!</definedName>
    <definedName name="SVODD_POK10_7">#REF!</definedName>
    <definedName name="SVODD_POK10_8">#REF!</definedName>
    <definedName name="SVODD_POK10_9">#REF!</definedName>
    <definedName name="SVODD_POK11_1">#REF!</definedName>
    <definedName name="SVODD_POK11_10">#REF!</definedName>
    <definedName name="SVODD_POK11_11">#REF!</definedName>
    <definedName name="SVODD_POK11_12">#REF!</definedName>
    <definedName name="SVODD_POK11_13">#REF!</definedName>
    <definedName name="SVODD_POK11_14">#REF!</definedName>
    <definedName name="SVODD_POK11_15">#REF!</definedName>
    <definedName name="SVODD_POK11_16">#REF!</definedName>
    <definedName name="SVODD_POK11_17">#REF!</definedName>
    <definedName name="SVODD_POK11_18">#REF!</definedName>
    <definedName name="SVODD_POK11_19">#REF!</definedName>
    <definedName name="SVODD_POK11_2">#REF!</definedName>
    <definedName name="SVODD_POK11_20">#REF!</definedName>
    <definedName name="SVODD_POK11_21">#REF!</definedName>
    <definedName name="SVODD_POK11_22">#REF!</definedName>
    <definedName name="SVODD_POK11_23">#REF!</definedName>
    <definedName name="SVODD_POK11_3">#REF!</definedName>
    <definedName name="SVODD_POK11_4">#REF!</definedName>
    <definedName name="SVODD_POK11_5">#REF!</definedName>
    <definedName name="SVODD_POK11_6">#REF!</definedName>
    <definedName name="SVODD_POK11_7">#REF!</definedName>
    <definedName name="SVODD_POK11_8">#REF!</definedName>
    <definedName name="SVODD_POK11_9">#REF!</definedName>
    <definedName name="SVODD_POK12_1">#REF!</definedName>
    <definedName name="SVODD_POK12_10">#REF!</definedName>
    <definedName name="SVODD_POK12_11">#REF!</definedName>
    <definedName name="SVODD_POK12_12">#REF!</definedName>
    <definedName name="SVODD_POK12_13">#REF!</definedName>
    <definedName name="SVODD_POK12_14">#REF!</definedName>
    <definedName name="SVODD_POK12_15">#REF!</definedName>
    <definedName name="SVODD_POK12_16">#REF!</definedName>
    <definedName name="SVODD_POK12_17">#REF!</definedName>
    <definedName name="SVODD_POK12_18">#REF!</definedName>
    <definedName name="SVODD_POK12_19">#REF!</definedName>
    <definedName name="SVODD_POK12_2">#REF!</definedName>
    <definedName name="SVODD_POK12_20">#REF!</definedName>
    <definedName name="SVODD_POK12_21">#REF!</definedName>
    <definedName name="SVODD_POK12_22">#REF!</definedName>
    <definedName name="SVODD_POK12_23">#REF!</definedName>
    <definedName name="SVODD_POK12_3">#REF!</definedName>
    <definedName name="SVODD_POK12_4">#REF!</definedName>
    <definedName name="SVODD_POK12_5">#REF!</definedName>
    <definedName name="SVODD_POK12_6">#REF!</definedName>
    <definedName name="SVODD_POK12_7">#REF!</definedName>
    <definedName name="SVODD_POK12_8">#REF!</definedName>
    <definedName name="SVODD_POK12_9">#REF!</definedName>
    <definedName name="SVODD_POK13_1">#REF!</definedName>
    <definedName name="SVODD_POK13_10">#REF!</definedName>
    <definedName name="SVODD_POK13_11">#REF!</definedName>
    <definedName name="SVODD_POK13_12">#REF!</definedName>
    <definedName name="SVODD_POK13_13">#REF!</definedName>
    <definedName name="SVODD_POK13_14">#REF!</definedName>
    <definedName name="SVODD_POK13_15">#REF!</definedName>
    <definedName name="SVODD_POK13_16">#REF!</definedName>
    <definedName name="SVODD_POK13_17">#REF!</definedName>
    <definedName name="SVODD_POK13_18">#REF!</definedName>
    <definedName name="SVODD_POK13_19">#REF!</definedName>
    <definedName name="SVODD_POK13_2">#REF!</definedName>
    <definedName name="SVODD_POK13_20">#REF!</definedName>
    <definedName name="SVODD_POK13_21">#REF!</definedName>
    <definedName name="SVODD_POK13_22">#REF!</definedName>
    <definedName name="SVODD_POK13_23">#REF!</definedName>
    <definedName name="SVODD_POK13_3">#REF!</definedName>
    <definedName name="SVODD_POK13_4">#REF!</definedName>
    <definedName name="SVODD_POK13_5">#REF!</definedName>
    <definedName name="SVODD_POK13_6">#REF!</definedName>
    <definedName name="SVODD_POK13_7">#REF!</definedName>
    <definedName name="SVODD_POK13_8">#REF!</definedName>
    <definedName name="SVODD_POK13_9">#REF!</definedName>
    <definedName name="SVODE_POK01_1">#REF!</definedName>
    <definedName name="SVODE_POK01_10">#REF!</definedName>
    <definedName name="SVODE_POK01_11">#REF!</definedName>
    <definedName name="SVODE_POK01_12">#REF!</definedName>
    <definedName name="SVODE_POK01_13">#REF!</definedName>
    <definedName name="SVODE_POK01_14">#REF!</definedName>
    <definedName name="SVODE_POK01_15">#REF!</definedName>
    <definedName name="SVODE_POK01_16">#REF!</definedName>
    <definedName name="SVODE_POK01_17">#REF!</definedName>
    <definedName name="SVODE_POK01_18">#REF!</definedName>
    <definedName name="SVODE_POK01_19">#REF!</definedName>
    <definedName name="SVODE_POK01_2">#REF!</definedName>
    <definedName name="SVODE_POK01_3">#REF!</definedName>
    <definedName name="SVODE_POK01_4">#REF!</definedName>
    <definedName name="SVODE_POK01_5">#REF!</definedName>
    <definedName name="SVODE_POK01_6">#REF!</definedName>
    <definedName name="SVODE_POK01_7">#REF!</definedName>
    <definedName name="SVODE_POK01_8">#REF!</definedName>
    <definedName name="SVODE_POK01_9">#REF!</definedName>
    <definedName name="SVODE_POK02_1">#REF!</definedName>
    <definedName name="SVODE_POK02_10">#REF!</definedName>
    <definedName name="SVODE_POK02_11">#REF!</definedName>
    <definedName name="SVODE_POK02_12">#REF!</definedName>
    <definedName name="SVODE_POK02_13">#REF!</definedName>
    <definedName name="SVODE_POK02_14">#REF!</definedName>
    <definedName name="SVODE_POK02_15">#REF!</definedName>
    <definedName name="SVODE_POK02_16">#REF!</definedName>
    <definedName name="SVODE_POK02_17">#REF!</definedName>
    <definedName name="SVODE_POK02_18">#REF!</definedName>
    <definedName name="SVODE_POK02_19">#REF!</definedName>
    <definedName name="SVODE_POK02_2">#REF!</definedName>
    <definedName name="SVODE_POK02_3">#REF!</definedName>
    <definedName name="SVODE_POK02_4">#REF!</definedName>
    <definedName name="SVODE_POK02_5">#REF!</definedName>
    <definedName name="SVODE_POK02_6">#REF!</definedName>
    <definedName name="SVODE_POK02_7">#REF!</definedName>
    <definedName name="SVODE_POK02_8">#REF!</definedName>
    <definedName name="SVODE_POK02_9">#REF!</definedName>
    <definedName name="SVODE_POK03_1">#REF!</definedName>
    <definedName name="SVODE_POK03_10">#REF!</definedName>
    <definedName name="SVODE_POK03_11">#REF!</definedName>
    <definedName name="SVODE_POK03_12">#REF!</definedName>
    <definedName name="SVODE_POK03_13">#REF!</definedName>
    <definedName name="SVODE_POK03_14">#REF!</definedName>
    <definedName name="SVODE_POK03_15">#REF!</definedName>
    <definedName name="SVODE_POK03_16">#REF!</definedName>
    <definedName name="SVODE_POK03_17">#REF!</definedName>
    <definedName name="SVODE_POK03_18">#REF!</definedName>
    <definedName name="SVODE_POK03_19">#REF!</definedName>
    <definedName name="SVODE_POK03_2">#REF!</definedName>
    <definedName name="SVODE_POK03_3">#REF!</definedName>
    <definedName name="SVODE_POK03_4">#REF!</definedName>
    <definedName name="SVODE_POK03_5">#REF!</definedName>
    <definedName name="SVODE_POK03_6">#REF!</definedName>
    <definedName name="SVODE_POK03_7">#REF!</definedName>
    <definedName name="SVODE_POK03_8">#REF!</definedName>
    <definedName name="SVODE_POK03_9">#REF!</definedName>
    <definedName name="SVODE_POK04_1">#REF!</definedName>
    <definedName name="SVODE_POK04_10">#REF!</definedName>
    <definedName name="SVODE_POK04_11">#REF!</definedName>
    <definedName name="SVODE_POK04_12">#REF!</definedName>
    <definedName name="SVODE_POK04_13">#REF!</definedName>
    <definedName name="SVODE_POK04_14">#REF!</definedName>
    <definedName name="SVODE_POK04_15">#REF!</definedName>
    <definedName name="SVODE_POK04_16">#REF!</definedName>
    <definedName name="SVODE_POK04_17">#REF!</definedName>
    <definedName name="SVODE_POK04_18">#REF!</definedName>
    <definedName name="SVODE_POK04_19">#REF!</definedName>
    <definedName name="SVODE_POK04_2">#REF!</definedName>
    <definedName name="SVODE_POK04_3">#REF!</definedName>
    <definedName name="SVODE_POK04_4">#REF!</definedName>
    <definedName name="SVODE_POK04_5">#REF!</definedName>
    <definedName name="SVODE_POK04_6">#REF!</definedName>
    <definedName name="SVODE_POK04_7">#REF!</definedName>
    <definedName name="SVODE_POK04_8">#REF!</definedName>
    <definedName name="SVODE_POK04_9">#REF!</definedName>
    <definedName name="SVODE_POK05_1">#REF!</definedName>
    <definedName name="SVODE_POK05_10">#REF!</definedName>
    <definedName name="SVODE_POK05_11">#REF!</definedName>
    <definedName name="SVODE_POK05_12">#REF!</definedName>
    <definedName name="SVODE_POK05_13">#REF!</definedName>
    <definedName name="SVODE_POK05_14">#REF!</definedName>
    <definedName name="SVODE_POK05_15">#REF!</definedName>
    <definedName name="SVODE_POK05_16">#REF!</definedName>
    <definedName name="SVODE_POK05_17">#REF!</definedName>
    <definedName name="SVODE_POK05_18">#REF!</definedName>
    <definedName name="SVODE_POK05_19">#REF!</definedName>
    <definedName name="SVODE_POK05_2">#REF!</definedName>
    <definedName name="SVODE_POK05_3">#REF!</definedName>
    <definedName name="SVODE_POK05_4">#REF!</definedName>
    <definedName name="SVODE_POK05_5">#REF!</definedName>
    <definedName name="SVODE_POK05_6">#REF!</definedName>
    <definedName name="SVODE_POK05_7">#REF!</definedName>
    <definedName name="SVODE_POK05_8">#REF!</definedName>
    <definedName name="SVODE_POK05_9">#REF!</definedName>
    <definedName name="SVODE_POK06_1">#REF!</definedName>
    <definedName name="SVODE_POK06_10">#REF!</definedName>
    <definedName name="SVODE_POK06_11">#REF!</definedName>
    <definedName name="SVODE_POK06_12">#REF!</definedName>
    <definedName name="SVODE_POK06_13">#REF!</definedName>
    <definedName name="SVODE_POK06_14">#REF!</definedName>
    <definedName name="SVODE_POK06_15">#REF!</definedName>
    <definedName name="SVODE_POK06_16">#REF!</definedName>
    <definedName name="SVODE_POK06_17">#REF!</definedName>
    <definedName name="SVODE_POK06_18">#REF!</definedName>
    <definedName name="SVODE_POK06_19">#REF!</definedName>
    <definedName name="SVODE_POK06_2">#REF!</definedName>
    <definedName name="SVODE_POK06_3">#REF!</definedName>
    <definedName name="SVODE_POK06_4">#REF!</definedName>
    <definedName name="SVODE_POK06_5">#REF!</definedName>
    <definedName name="SVODE_POK06_6">#REF!</definedName>
    <definedName name="SVODE_POK06_7">#REF!</definedName>
    <definedName name="SVODE_POK06_8">#REF!</definedName>
    <definedName name="SVODE_POK06_9">#REF!</definedName>
    <definedName name="SVODE_POK07_1">#REF!</definedName>
    <definedName name="SVODE_POK07_10">#REF!</definedName>
    <definedName name="SVODE_POK07_11">#REF!</definedName>
    <definedName name="SVODE_POK07_12">#REF!</definedName>
    <definedName name="SVODE_POK07_13">#REF!</definedName>
    <definedName name="SVODE_POK07_14">#REF!</definedName>
    <definedName name="SVODE_POK07_15">#REF!</definedName>
    <definedName name="SVODE_POK07_16">#REF!</definedName>
    <definedName name="SVODE_POK07_17">#REF!</definedName>
    <definedName name="SVODE_POK07_18">#REF!</definedName>
    <definedName name="SVODE_POK07_19">#REF!</definedName>
    <definedName name="SVODE_POK07_2">#REF!</definedName>
    <definedName name="SVODE_POK07_3">#REF!</definedName>
    <definedName name="SVODE_POK07_4">#REF!</definedName>
    <definedName name="SVODE_POK07_5">#REF!</definedName>
    <definedName name="SVODE_POK07_6">#REF!</definedName>
    <definedName name="SVODE_POK07_7">#REF!</definedName>
    <definedName name="SVODE_POK07_8">#REF!</definedName>
    <definedName name="SVODE_POK07_9">#REF!</definedName>
    <definedName name="SVODE_POK08_1">#REF!</definedName>
    <definedName name="SVODE_POK08_10">#REF!</definedName>
    <definedName name="SVODE_POK08_11">#REF!</definedName>
    <definedName name="SVODE_POK08_12">#REF!</definedName>
    <definedName name="SVODE_POK08_13">#REF!</definedName>
    <definedName name="SVODE_POK08_14">#REF!</definedName>
    <definedName name="SVODE_POK08_15">#REF!</definedName>
    <definedName name="SVODE_POK08_16">#REF!</definedName>
    <definedName name="SVODE_POK08_17">#REF!</definedName>
    <definedName name="SVODE_POK08_18">#REF!</definedName>
    <definedName name="SVODE_POK08_19">#REF!</definedName>
    <definedName name="SVODE_POK08_2">#REF!</definedName>
    <definedName name="SVODE_POK08_3">#REF!</definedName>
    <definedName name="SVODE_POK08_4">#REF!</definedName>
    <definedName name="SVODE_POK08_5">#REF!</definedName>
    <definedName name="SVODE_POK08_6">#REF!</definedName>
    <definedName name="SVODE_POK08_7">#REF!</definedName>
    <definedName name="SVODE_POK08_8">#REF!</definedName>
    <definedName name="SVODE_POK08_9">#REF!</definedName>
    <definedName name="SVODE_POK09_1">#REF!</definedName>
    <definedName name="SVODE_POK09_10">#REF!</definedName>
    <definedName name="SVODE_POK09_11">#REF!</definedName>
    <definedName name="SVODE_POK09_12">#REF!</definedName>
    <definedName name="SVODE_POK09_13">#REF!</definedName>
    <definedName name="SVODE_POK09_14">#REF!</definedName>
    <definedName name="SVODE_POK09_15">#REF!</definedName>
    <definedName name="SVODE_POK09_16">#REF!</definedName>
    <definedName name="SVODE_POK09_17">#REF!</definedName>
    <definedName name="SVODE_POK09_18">#REF!</definedName>
    <definedName name="SVODE_POK09_19">#REF!</definedName>
    <definedName name="SVODE_POK09_2">#REF!</definedName>
    <definedName name="SVODE_POK09_3">#REF!</definedName>
    <definedName name="SVODE_POK09_4">#REF!</definedName>
    <definedName name="SVODE_POK09_5">#REF!</definedName>
    <definedName name="SVODE_POK09_6">#REF!</definedName>
    <definedName name="SVODE_POK09_7">#REF!</definedName>
    <definedName name="SVODE_POK09_8">#REF!</definedName>
    <definedName name="SVODE_POK09_9">#REF!</definedName>
    <definedName name="SVODE_POK10_1">#REF!</definedName>
    <definedName name="SVODE_POK10_10">#REF!</definedName>
    <definedName name="SVODE_POK10_11">#REF!</definedName>
    <definedName name="SVODE_POK10_12">#REF!</definedName>
    <definedName name="SVODE_POK10_13">#REF!</definedName>
    <definedName name="SVODE_POK10_14">#REF!</definedName>
    <definedName name="SVODE_POK10_15">#REF!</definedName>
    <definedName name="SVODE_POK10_16">#REF!</definedName>
    <definedName name="SVODE_POK10_17">#REF!</definedName>
    <definedName name="SVODE_POK10_18">#REF!</definedName>
    <definedName name="SVODE_POK10_19">#REF!</definedName>
    <definedName name="SVODE_POK10_2">#REF!</definedName>
    <definedName name="SVODE_POK10_3">#REF!</definedName>
    <definedName name="SVODE_POK10_4">#REF!</definedName>
    <definedName name="SVODE_POK10_5">#REF!</definedName>
    <definedName name="SVODE_POK10_6">#REF!</definedName>
    <definedName name="SVODE_POK10_7">#REF!</definedName>
    <definedName name="SVODE_POK10_8">#REF!</definedName>
    <definedName name="SVODE_POK10_9">#REF!</definedName>
    <definedName name="SVODE_POK11_1">#REF!</definedName>
    <definedName name="SVODE_POK11_10">#REF!</definedName>
    <definedName name="SVODE_POK11_11">#REF!</definedName>
    <definedName name="SVODE_POK11_12">#REF!</definedName>
    <definedName name="SVODE_POK11_13">#REF!</definedName>
    <definedName name="SVODE_POK11_14">#REF!</definedName>
    <definedName name="SVODE_POK11_15">#REF!</definedName>
    <definedName name="SVODE_POK11_16">#REF!</definedName>
    <definedName name="SVODE_POK11_17">#REF!</definedName>
    <definedName name="SVODE_POK11_18">#REF!</definedName>
    <definedName name="SVODE_POK11_19">#REF!</definedName>
    <definedName name="SVODE_POK11_2">#REF!</definedName>
    <definedName name="SVODE_POK11_3">#REF!</definedName>
    <definedName name="SVODE_POK11_4">#REF!</definedName>
    <definedName name="SVODE_POK11_5">#REF!</definedName>
    <definedName name="SVODE_POK11_6">#REF!</definedName>
    <definedName name="SVODE_POK11_7">#REF!</definedName>
    <definedName name="SVODE_POK11_8">#REF!</definedName>
    <definedName name="SVODE_POK11_9">#REF!</definedName>
    <definedName name="SVODE_POK12_1">#REF!</definedName>
    <definedName name="SVODE_POK12_10">#REF!</definedName>
    <definedName name="SVODE_POK12_11">#REF!</definedName>
    <definedName name="SVODE_POK12_12">#REF!</definedName>
    <definedName name="SVODE_POK12_13">#REF!</definedName>
    <definedName name="SVODE_POK12_14">#REF!</definedName>
    <definedName name="SVODE_POK12_15">#REF!</definedName>
    <definedName name="SVODE_POK12_16">#REF!</definedName>
    <definedName name="SVODE_POK12_17">#REF!</definedName>
    <definedName name="SVODE_POK12_18">#REF!</definedName>
    <definedName name="SVODE_POK12_19">#REF!</definedName>
    <definedName name="SVODE_POK12_2">#REF!</definedName>
    <definedName name="SVODE_POK12_3">#REF!</definedName>
    <definedName name="SVODE_POK12_4">#REF!</definedName>
    <definedName name="SVODE_POK12_5">#REF!</definedName>
    <definedName name="SVODE_POK12_6">#REF!</definedName>
    <definedName name="SVODE_POK12_7">#REF!</definedName>
    <definedName name="SVODE_POK12_8">#REF!</definedName>
    <definedName name="SVODE_POK12_9">#REF!</definedName>
    <definedName name="SVODE_POK13_1">#REF!</definedName>
    <definedName name="SVODE_POK13_10">#REF!</definedName>
    <definedName name="SVODE_POK13_11">#REF!</definedName>
    <definedName name="SVODE_POK13_12">#REF!</definedName>
    <definedName name="SVODE_POK13_13">#REF!</definedName>
    <definedName name="SVODE_POK13_14">#REF!</definedName>
    <definedName name="SVODE_POK13_15">#REF!</definedName>
    <definedName name="SVODE_POK13_16">#REF!</definedName>
    <definedName name="SVODE_POK13_17">#REF!</definedName>
    <definedName name="SVODE_POK13_18">#REF!</definedName>
    <definedName name="SVODE_POK13_19">#REF!</definedName>
    <definedName name="SVODE_POK13_2">#REF!</definedName>
    <definedName name="SVODE_POK13_3">#REF!</definedName>
    <definedName name="SVODE_POK13_4">#REF!</definedName>
    <definedName name="SVODE_POK13_5">#REF!</definedName>
    <definedName name="SVODE_POK13_6">#REF!</definedName>
    <definedName name="SVODE_POK13_7">#REF!</definedName>
    <definedName name="SVODE_POK13_8">#REF!</definedName>
    <definedName name="SVODE_POK13_9">#REF!</definedName>
    <definedName name="SVODR_POK01_1">#REF!</definedName>
    <definedName name="SVODR_POK01_10">#REF!</definedName>
    <definedName name="SVODR_POK01_11">#REF!</definedName>
    <definedName name="SVODR_POK01_12">#REF!</definedName>
    <definedName name="SVODR_POK01_13">#REF!</definedName>
    <definedName name="SVODR_POK01_14">#REF!</definedName>
    <definedName name="SVODR_POK01_15">#REF!</definedName>
    <definedName name="SVODR_POK01_16">#REF!</definedName>
    <definedName name="SVODR_POK01_17">#REF!</definedName>
    <definedName name="SVODR_POK01_18">#REF!</definedName>
    <definedName name="SVODR_POK01_19">#REF!</definedName>
    <definedName name="SVODR_POK01_2">#REF!</definedName>
    <definedName name="SVODR_POK01_20">#REF!</definedName>
    <definedName name="SVODR_POK01_21">#REF!</definedName>
    <definedName name="SVODR_POK01_22">#REF!</definedName>
    <definedName name="SVODR_POK01_23">#REF!</definedName>
    <definedName name="SVODR_POK01_24">#REF!</definedName>
    <definedName name="SVODR_POK01_25">#REF!</definedName>
    <definedName name="SVODR_POK01_26">#REF!</definedName>
    <definedName name="SVODR_POK01_27">#REF!</definedName>
    <definedName name="SVODR_POK01_28">#REF!</definedName>
    <definedName name="SVODR_POK01_29">#REF!</definedName>
    <definedName name="SVODR_POK01_3">#REF!</definedName>
    <definedName name="SVODR_POK01_30">#REF!</definedName>
    <definedName name="SVODR_POK01_31">#REF!</definedName>
    <definedName name="SVODR_POK01_32">#REF!</definedName>
    <definedName name="SVODR_POK01_33">#REF!</definedName>
    <definedName name="SVODR_POK01_34">#REF!</definedName>
    <definedName name="SVODR_POK01_4">#REF!</definedName>
    <definedName name="SVODR_POK01_5">#REF!</definedName>
    <definedName name="SVODR_POK01_6">#REF!</definedName>
    <definedName name="SVODR_POK01_7">#REF!</definedName>
    <definedName name="SVODR_POK01_8">#REF!</definedName>
    <definedName name="SVODR_POK01_9">#REF!</definedName>
    <definedName name="SVODR_POK02_1">#REF!</definedName>
    <definedName name="SVODR_POK02_10">#REF!</definedName>
    <definedName name="SVODR_POK02_11">#REF!</definedName>
    <definedName name="SVODR_POK02_12">#REF!</definedName>
    <definedName name="SVODR_POK02_13">#REF!</definedName>
    <definedName name="SVODR_POK02_14">#REF!</definedName>
    <definedName name="SVODR_POK02_15">#REF!</definedName>
    <definedName name="SVODR_POK02_16">#REF!</definedName>
    <definedName name="SVODR_POK02_17">#REF!</definedName>
    <definedName name="SVODR_POK02_18">#REF!</definedName>
    <definedName name="SVODR_POK02_19">#REF!</definedName>
    <definedName name="SVODR_POK02_2">#REF!</definedName>
    <definedName name="SVODR_POK02_20">#REF!</definedName>
    <definedName name="SVODR_POK02_21">#REF!</definedName>
    <definedName name="SVODR_POK02_22">#REF!</definedName>
    <definedName name="SVODR_POK02_23">#REF!</definedName>
    <definedName name="SVODR_POK02_24">#REF!</definedName>
    <definedName name="SVODR_POK02_25">#REF!</definedName>
    <definedName name="SVODR_POK02_26">#REF!</definedName>
    <definedName name="SVODR_POK02_27">#REF!</definedName>
    <definedName name="SVODR_POK02_28">#REF!</definedName>
    <definedName name="SVODR_POK02_29">#REF!</definedName>
    <definedName name="SVODR_POK02_3">#REF!</definedName>
    <definedName name="SVODR_POK02_30">#REF!</definedName>
    <definedName name="SVODR_POK02_31">#REF!</definedName>
    <definedName name="SVODR_POK02_32">#REF!</definedName>
    <definedName name="SVODR_POK02_33">#REF!</definedName>
    <definedName name="SVODR_POK02_34">#REF!</definedName>
    <definedName name="SVODR_POK02_4">#REF!</definedName>
    <definedName name="SVODR_POK02_5">#REF!</definedName>
    <definedName name="SVODR_POK02_6">#REF!</definedName>
    <definedName name="SVODR_POK02_7">#REF!</definedName>
    <definedName name="SVODR_POK02_8">#REF!</definedName>
    <definedName name="SVODR_POK02_9">#REF!</definedName>
    <definedName name="SVODR_POK03_1">#REF!</definedName>
    <definedName name="SVODR_POK03_10">#REF!</definedName>
    <definedName name="SVODR_POK03_11">#REF!</definedName>
    <definedName name="SVODR_POK03_12">#REF!</definedName>
    <definedName name="SVODR_POK03_13">#REF!</definedName>
    <definedName name="SVODR_POK03_14">#REF!</definedName>
    <definedName name="SVODR_POK03_15">#REF!</definedName>
    <definedName name="SVODR_POK03_16">#REF!</definedName>
    <definedName name="SVODR_POK03_17">#REF!</definedName>
    <definedName name="SVODR_POK03_18">#REF!</definedName>
    <definedName name="SVODR_POK03_19">#REF!</definedName>
    <definedName name="SVODR_POK03_2">#REF!</definedName>
    <definedName name="SVODR_POK03_20">#REF!</definedName>
    <definedName name="SVODR_POK03_21">#REF!</definedName>
    <definedName name="SVODR_POK03_22">#REF!</definedName>
    <definedName name="SVODR_POK03_23">#REF!</definedName>
    <definedName name="SVODR_POK03_24">#REF!</definedName>
    <definedName name="SVODR_POK03_25">#REF!</definedName>
    <definedName name="SVODR_POK03_26">#REF!</definedName>
    <definedName name="SVODR_POK03_27">#REF!</definedName>
    <definedName name="SVODR_POK03_28">#REF!</definedName>
    <definedName name="SVODR_POK03_29">#REF!</definedName>
    <definedName name="SVODR_POK03_3">#REF!</definedName>
    <definedName name="SVODR_POK03_30">#REF!</definedName>
    <definedName name="SVODR_POK03_31">#REF!</definedName>
    <definedName name="SVODR_POK03_32">#REF!</definedName>
    <definedName name="SVODR_POK03_33">#REF!</definedName>
    <definedName name="SVODR_POK03_34">#REF!</definedName>
    <definedName name="SVODR_POK03_4">#REF!</definedName>
    <definedName name="SVODR_POK03_5">#REF!</definedName>
    <definedName name="SVODR_POK03_6">#REF!</definedName>
    <definedName name="SVODR_POK03_7">#REF!</definedName>
    <definedName name="SVODR_POK03_8">#REF!</definedName>
    <definedName name="SVODR_POK03_9">#REF!</definedName>
    <definedName name="SVODR_POK04_1">#REF!</definedName>
    <definedName name="SVODR_POK04_10">#REF!</definedName>
    <definedName name="SVODR_POK04_11">#REF!</definedName>
    <definedName name="SVODR_POK04_12">#REF!</definedName>
    <definedName name="SVODR_POK04_13">#REF!</definedName>
    <definedName name="SVODR_POK04_14">#REF!</definedName>
    <definedName name="SVODR_POK04_15">#REF!</definedName>
    <definedName name="SVODR_POK04_16">#REF!</definedName>
    <definedName name="SVODR_POK04_17">#REF!</definedName>
    <definedName name="SVODR_POK04_18">#REF!</definedName>
    <definedName name="SVODR_POK04_19">#REF!</definedName>
    <definedName name="SVODR_POK04_2">#REF!</definedName>
    <definedName name="SVODR_POK04_20">#REF!</definedName>
    <definedName name="SVODR_POK04_21">#REF!</definedName>
    <definedName name="SVODR_POK04_22">#REF!</definedName>
    <definedName name="SVODR_POK04_23">#REF!</definedName>
    <definedName name="SVODR_POK04_24">#REF!</definedName>
    <definedName name="SVODR_POK04_25">#REF!</definedName>
    <definedName name="SVODR_POK04_26">#REF!</definedName>
    <definedName name="SVODR_POK04_27">#REF!</definedName>
    <definedName name="SVODR_POK04_28">#REF!</definedName>
    <definedName name="SVODR_POK04_29">#REF!</definedName>
    <definedName name="SVODR_POK04_3">#REF!</definedName>
    <definedName name="SVODR_POK04_30">#REF!</definedName>
    <definedName name="SVODR_POK04_31">#REF!</definedName>
    <definedName name="SVODR_POK04_32">#REF!</definedName>
    <definedName name="SVODR_POK04_33">#REF!</definedName>
    <definedName name="SVODR_POK04_34">#REF!</definedName>
    <definedName name="SVODR_POK04_4">#REF!</definedName>
    <definedName name="SVODR_POK04_5">#REF!</definedName>
    <definedName name="SVODR_POK04_6">#REF!</definedName>
    <definedName name="SVODR_POK04_7">#REF!</definedName>
    <definedName name="SVODR_POK04_8">#REF!</definedName>
    <definedName name="SVODR_POK04_9">#REF!</definedName>
    <definedName name="SVODR_POK05_1">#REF!</definedName>
    <definedName name="SVODR_POK05_10">#REF!</definedName>
    <definedName name="SVODR_POK05_11">#REF!</definedName>
    <definedName name="SVODR_POK05_12">#REF!</definedName>
    <definedName name="SVODR_POK05_13">#REF!</definedName>
    <definedName name="SVODR_POK05_14">#REF!</definedName>
    <definedName name="SVODR_POK05_15">#REF!</definedName>
    <definedName name="SVODR_POK05_16">#REF!</definedName>
    <definedName name="SVODR_POK05_17">#REF!</definedName>
    <definedName name="SVODR_POK05_18">#REF!</definedName>
    <definedName name="SVODR_POK05_19">#REF!</definedName>
    <definedName name="SVODR_POK05_2">#REF!</definedName>
    <definedName name="SVODR_POK05_20">#REF!</definedName>
    <definedName name="SVODR_POK05_21">#REF!</definedName>
    <definedName name="SVODR_POK05_22">#REF!</definedName>
    <definedName name="SVODR_POK05_23">#REF!</definedName>
    <definedName name="SVODR_POK05_24">#REF!</definedName>
    <definedName name="SVODR_POK05_25">#REF!</definedName>
    <definedName name="SVODR_POK05_26">#REF!</definedName>
    <definedName name="SVODR_POK05_27">#REF!</definedName>
    <definedName name="SVODR_POK05_28">#REF!</definedName>
    <definedName name="SVODR_POK05_29">#REF!</definedName>
    <definedName name="SVODR_POK05_3">#REF!</definedName>
    <definedName name="SVODR_POK05_30">#REF!</definedName>
    <definedName name="SVODR_POK05_31">#REF!</definedName>
    <definedName name="SVODR_POK05_32">#REF!</definedName>
    <definedName name="SVODR_POK05_33">#REF!</definedName>
    <definedName name="SVODR_POK05_34">#REF!</definedName>
    <definedName name="SVODR_POK05_4">#REF!</definedName>
    <definedName name="SVODR_POK05_5">#REF!</definedName>
    <definedName name="SVODR_POK05_6">#REF!</definedName>
    <definedName name="SVODR_POK05_7">#REF!</definedName>
    <definedName name="SVODR_POK05_8">#REF!</definedName>
    <definedName name="SVODR_POK05_9">#REF!</definedName>
    <definedName name="SVODR_POK06_1">#REF!</definedName>
    <definedName name="SVODR_POK06_10">#REF!</definedName>
    <definedName name="SVODR_POK06_11">#REF!</definedName>
    <definedName name="SVODR_POK06_12">#REF!</definedName>
    <definedName name="SVODR_POK06_13">#REF!</definedName>
    <definedName name="SVODR_POK06_14">#REF!</definedName>
    <definedName name="SVODR_POK06_15">#REF!</definedName>
    <definedName name="SVODR_POK06_16">#REF!</definedName>
    <definedName name="SVODR_POK06_17">#REF!</definedName>
    <definedName name="SVODR_POK06_18">#REF!</definedName>
    <definedName name="SVODR_POK06_19">#REF!</definedName>
    <definedName name="SVODR_POK06_2">#REF!</definedName>
    <definedName name="SVODR_POK06_20">#REF!</definedName>
    <definedName name="SVODR_POK06_21">#REF!</definedName>
    <definedName name="SVODR_POK06_22">#REF!</definedName>
    <definedName name="SVODR_POK06_23">#REF!</definedName>
    <definedName name="SVODR_POK06_24">#REF!</definedName>
    <definedName name="SVODR_POK06_25">#REF!</definedName>
    <definedName name="SVODR_POK06_26">#REF!</definedName>
    <definedName name="SVODR_POK06_27">#REF!</definedName>
    <definedName name="SVODR_POK06_28">#REF!</definedName>
    <definedName name="SVODR_POK06_29">#REF!</definedName>
    <definedName name="SVODR_POK06_3">#REF!</definedName>
    <definedName name="SVODR_POK06_30">#REF!</definedName>
    <definedName name="SVODR_POK06_31">#REF!</definedName>
    <definedName name="SVODR_POK06_32">#REF!</definedName>
    <definedName name="SVODR_POK06_33">#REF!</definedName>
    <definedName name="SVODR_POK06_34">#REF!</definedName>
    <definedName name="SVODR_POK06_4">#REF!</definedName>
    <definedName name="SVODR_POK06_5">#REF!</definedName>
    <definedName name="SVODR_POK06_6">#REF!</definedName>
    <definedName name="SVODR_POK06_7">#REF!</definedName>
    <definedName name="SVODR_POK06_8">#REF!</definedName>
    <definedName name="SVODR_POK06_9">#REF!</definedName>
    <definedName name="SVODR_POK07_1">#REF!</definedName>
    <definedName name="SVODR_POK07_10">#REF!</definedName>
    <definedName name="SVODR_POK07_11">#REF!</definedName>
    <definedName name="SVODR_POK07_12">#REF!</definedName>
    <definedName name="SVODR_POK07_13">#REF!</definedName>
    <definedName name="SVODR_POK07_14">#REF!</definedName>
    <definedName name="SVODR_POK07_15">#REF!</definedName>
    <definedName name="SVODR_POK07_16">#REF!</definedName>
    <definedName name="SVODR_POK07_17">#REF!</definedName>
    <definedName name="SVODR_POK07_18">#REF!</definedName>
    <definedName name="SVODR_POK07_19">#REF!</definedName>
    <definedName name="SVODR_POK07_2">#REF!</definedName>
    <definedName name="SVODR_POK07_20">#REF!</definedName>
    <definedName name="SVODR_POK07_21">#REF!</definedName>
    <definedName name="SVODR_POK07_22">#REF!</definedName>
    <definedName name="SVODR_POK07_23">#REF!</definedName>
    <definedName name="SVODR_POK07_24">#REF!</definedName>
    <definedName name="SVODR_POK07_25">#REF!</definedName>
    <definedName name="SVODR_POK07_26">#REF!</definedName>
    <definedName name="SVODR_POK07_27">#REF!</definedName>
    <definedName name="SVODR_POK07_28">#REF!</definedName>
    <definedName name="SVODR_POK07_29">#REF!</definedName>
    <definedName name="SVODR_POK07_3">#REF!</definedName>
    <definedName name="SVODR_POK07_30">#REF!</definedName>
    <definedName name="SVODR_POK07_31">#REF!</definedName>
    <definedName name="SVODR_POK07_32">#REF!</definedName>
    <definedName name="SVODR_POK07_33">#REF!</definedName>
    <definedName name="SVODR_POK07_34">#REF!</definedName>
    <definedName name="SVODR_POK07_4">#REF!</definedName>
    <definedName name="SVODR_POK07_5">#REF!</definedName>
    <definedName name="SVODR_POK07_6">#REF!</definedName>
    <definedName name="SVODR_POK07_7">#REF!</definedName>
    <definedName name="SVODR_POK07_8">#REF!</definedName>
    <definedName name="SVODR_POK07_9">#REF!</definedName>
    <definedName name="SVODR_POK08_1">#REF!</definedName>
    <definedName name="SVODR_POK08_10">#REF!</definedName>
    <definedName name="SVODR_POK08_11">#REF!</definedName>
    <definedName name="SVODR_POK08_12">#REF!</definedName>
    <definedName name="SVODR_POK08_13">#REF!</definedName>
    <definedName name="SVODR_POK08_14">#REF!</definedName>
    <definedName name="SVODR_POK08_15">#REF!</definedName>
    <definedName name="SVODR_POK08_16">#REF!</definedName>
    <definedName name="SVODR_POK08_17">#REF!</definedName>
    <definedName name="SVODR_POK08_18">#REF!</definedName>
    <definedName name="SVODR_POK08_19">#REF!</definedName>
    <definedName name="SVODR_POK08_2">#REF!</definedName>
    <definedName name="SVODR_POK08_20">#REF!</definedName>
    <definedName name="SVODR_POK08_21">#REF!</definedName>
    <definedName name="SVODR_POK08_22">#REF!</definedName>
    <definedName name="SVODR_POK08_23">#REF!</definedName>
    <definedName name="SVODR_POK08_24">#REF!</definedName>
    <definedName name="SVODR_POK08_25">#REF!</definedName>
    <definedName name="SVODR_POK08_26">#REF!</definedName>
    <definedName name="SVODR_POK08_27">#REF!</definedName>
    <definedName name="SVODR_POK08_28">#REF!</definedName>
    <definedName name="SVODR_POK08_29">#REF!</definedName>
    <definedName name="SVODR_POK08_3">#REF!</definedName>
    <definedName name="SVODR_POK08_30">#REF!</definedName>
    <definedName name="SVODR_POK08_31">#REF!</definedName>
    <definedName name="SVODR_POK08_32">#REF!</definedName>
    <definedName name="SVODR_POK08_33">#REF!</definedName>
    <definedName name="SVODR_POK08_34">#REF!</definedName>
    <definedName name="SVODR_POK08_4">#REF!</definedName>
    <definedName name="SVODR_POK08_5">#REF!</definedName>
    <definedName name="SVODR_POK08_6">#REF!</definedName>
    <definedName name="SVODR_POK08_7">#REF!</definedName>
    <definedName name="SVODR_POK08_8">#REF!</definedName>
    <definedName name="SVODR_POK08_9">#REF!</definedName>
    <definedName name="SVODR_POK09_1">#REF!</definedName>
    <definedName name="SVODR_POK09_10">#REF!</definedName>
    <definedName name="SVODR_POK09_11">#REF!</definedName>
    <definedName name="SVODR_POK09_12">#REF!</definedName>
    <definedName name="SVODR_POK09_13">#REF!</definedName>
    <definedName name="SVODR_POK09_14">#REF!</definedName>
    <definedName name="SVODR_POK09_15">#REF!</definedName>
    <definedName name="SVODR_POK09_16">#REF!</definedName>
    <definedName name="SVODR_POK09_17">#REF!</definedName>
    <definedName name="SVODR_POK09_18">#REF!</definedName>
    <definedName name="SVODR_POK09_19">#REF!</definedName>
    <definedName name="SVODR_POK09_2">#REF!</definedName>
    <definedName name="SVODR_POK09_20">#REF!</definedName>
    <definedName name="SVODR_POK09_21">#REF!</definedName>
    <definedName name="SVODR_POK09_22">#REF!</definedName>
    <definedName name="SVODR_POK09_23">#REF!</definedName>
    <definedName name="SVODR_POK09_24">#REF!</definedName>
    <definedName name="SVODR_POK09_25">#REF!</definedName>
    <definedName name="SVODR_POK09_26">#REF!</definedName>
    <definedName name="SVODR_POK09_27">#REF!</definedName>
    <definedName name="SVODR_POK09_28">#REF!</definedName>
    <definedName name="SVODR_POK09_29">#REF!</definedName>
    <definedName name="SVODR_POK09_3">#REF!</definedName>
    <definedName name="SVODR_POK09_30">#REF!</definedName>
    <definedName name="SVODR_POK09_31">#REF!</definedName>
    <definedName name="SVODR_POK09_32">#REF!</definedName>
    <definedName name="SVODR_POK09_33">#REF!</definedName>
    <definedName name="SVODR_POK09_34">#REF!</definedName>
    <definedName name="SVODR_POK09_4">#REF!</definedName>
    <definedName name="SVODR_POK09_5">#REF!</definedName>
    <definedName name="SVODR_POK09_6">#REF!</definedName>
    <definedName name="SVODR_POK09_7">#REF!</definedName>
    <definedName name="SVODR_POK09_8">#REF!</definedName>
    <definedName name="SVODR_POK09_9">#REF!</definedName>
    <definedName name="SVODR_POK10_1">#REF!</definedName>
    <definedName name="SVODR_POK10_10">#REF!</definedName>
    <definedName name="SVODR_POK10_11">#REF!</definedName>
    <definedName name="SVODR_POK10_12">#REF!</definedName>
    <definedName name="SVODR_POK10_13">#REF!</definedName>
    <definedName name="SVODR_POK10_14">#REF!</definedName>
    <definedName name="SVODR_POK10_15">#REF!</definedName>
    <definedName name="SVODR_POK10_16">#REF!</definedName>
    <definedName name="SVODR_POK10_17">#REF!</definedName>
    <definedName name="SVODR_POK10_18">#REF!</definedName>
    <definedName name="SVODR_POK10_19">#REF!</definedName>
    <definedName name="SVODR_POK10_2">#REF!</definedName>
    <definedName name="SVODR_POK10_20">#REF!</definedName>
    <definedName name="SVODR_POK10_21">#REF!</definedName>
    <definedName name="SVODR_POK10_22">#REF!</definedName>
    <definedName name="SVODR_POK10_23">#REF!</definedName>
    <definedName name="SVODR_POK10_24">#REF!</definedName>
    <definedName name="SVODR_POK10_25">#REF!</definedName>
    <definedName name="SVODR_POK10_26">#REF!</definedName>
    <definedName name="SVODR_POK10_27">#REF!</definedName>
    <definedName name="SVODR_POK10_28">#REF!</definedName>
    <definedName name="SVODR_POK10_29">#REF!</definedName>
    <definedName name="SVODR_POK10_3">#REF!</definedName>
    <definedName name="SVODR_POK10_30">#REF!</definedName>
    <definedName name="SVODR_POK10_31">#REF!</definedName>
    <definedName name="SVODR_POK10_32">#REF!</definedName>
    <definedName name="SVODR_POK10_33">#REF!</definedName>
    <definedName name="SVODR_POK10_34">#REF!</definedName>
    <definedName name="SVODR_POK10_4">#REF!</definedName>
    <definedName name="SVODR_POK10_5">#REF!</definedName>
    <definedName name="SVODR_POK10_6">#REF!</definedName>
    <definedName name="SVODR_POK10_7">#REF!</definedName>
    <definedName name="SVODR_POK10_8">#REF!</definedName>
    <definedName name="SVODR_POK10_9">#REF!</definedName>
    <definedName name="SVODR_POK11_1">#REF!</definedName>
    <definedName name="SVODR_POK11_10">#REF!</definedName>
    <definedName name="SVODR_POK11_11">#REF!</definedName>
    <definedName name="SVODR_POK11_12">#REF!</definedName>
    <definedName name="SVODR_POK11_13">#REF!</definedName>
    <definedName name="SVODR_POK11_14">#REF!</definedName>
    <definedName name="SVODR_POK11_15">#REF!</definedName>
    <definedName name="SVODR_POK11_16">#REF!</definedName>
    <definedName name="SVODR_POK11_17">#REF!</definedName>
    <definedName name="SVODR_POK11_18">#REF!</definedName>
    <definedName name="SVODR_POK11_19">#REF!</definedName>
    <definedName name="SVODR_POK11_2">#REF!</definedName>
    <definedName name="SVODR_POK11_20">#REF!</definedName>
    <definedName name="SVODR_POK11_21">#REF!</definedName>
    <definedName name="SVODR_POK11_22">#REF!</definedName>
    <definedName name="SVODR_POK11_23">#REF!</definedName>
    <definedName name="SVODR_POK11_24">#REF!</definedName>
    <definedName name="SVODR_POK11_25">#REF!</definedName>
    <definedName name="SVODR_POK11_26">#REF!</definedName>
    <definedName name="SVODR_POK11_27">#REF!</definedName>
    <definedName name="SVODR_POK11_28">#REF!</definedName>
    <definedName name="SVODR_POK11_29">#REF!</definedName>
    <definedName name="SVODR_POK11_3">#REF!</definedName>
    <definedName name="SVODR_POK11_30">#REF!</definedName>
    <definedName name="SVODR_POK11_31">#REF!</definedName>
    <definedName name="SVODR_POK11_32">#REF!</definedName>
    <definedName name="SVODR_POK11_33">#REF!</definedName>
    <definedName name="SVODR_POK11_34">#REF!</definedName>
    <definedName name="SVODR_POK11_4">#REF!</definedName>
    <definedName name="SVODR_POK11_5">#REF!</definedName>
    <definedName name="SVODR_POK11_6">#REF!</definedName>
    <definedName name="SVODR_POK11_7">#REF!</definedName>
    <definedName name="SVODR_POK11_8">#REF!</definedName>
    <definedName name="SVODR_POK11_9">#REF!</definedName>
    <definedName name="SVODR_POK12_1">#REF!</definedName>
    <definedName name="SVODR_POK12_10">#REF!</definedName>
    <definedName name="SVODR_POK12_11">#REF!</definedName>
    <definedName name="SVODR_POK12_12">#REF!</definedName>
    <definedName name="SVODR_POK12_13">#REF!</definedName>
    <definedName name="SVODR_POK12_14">#REF!</definedName>
    <definedName name="SVODR_POK12_15">#REF!</definedName>
    <definedName name="SVODR_POK12_16">#REF!</definedName>
    <definedName name="SVODR_POK12_17">#REF!</definedName>
    <definedName name="SVODR_POK12_18">#REF!</definedName>
    <definedName name="SVODR_POK12_19">#REF!</definedName>
    <definedName name="SVODR_POK12_2">#REF!</definedName>
    <definedName name="SVODR_POK12_20">#REF!</definedName>
    <definedName name="SVODR_POK12_21">#REF!</definedName>
    <definedName name="SVODR_POK12_22">#REF!</definedName>
    <definedName name="SVODR_POK12_23">#REF!</definedName>
    <definedName name="SVODR_POK12_24">#REF!</definedName>
    <definedName name="SVODR_POK12_25">#REF!</definedName>
    <definedName name="SVODR_POK12_26">#REF!</definedName>
    <definedName name="SVODR_POK12_27">#REF!</definedName>
    <definedName name="SVODR_POK12_28">#REF!</definedName>
    <definedName name="SVODR_POK12_29">#REF!</definedName>
    <definedName name="SVODR_POK12_3">#REF!</definedName>
    <definedName name="SVODR_POK12_30">#REF!</definedName>
    <definedName name="SVODR_POK12_31">#REF!</definedName>
    <definedName name="SVODR_POK12_32">#REF!</definedName>
    <definedName name="SVODR_POK12_33">#REF!</definedName>
    <definedName name="SVODR_POK12_34">#REF!</definedName>
    <definedName name="SVODR_POK12_4">#REF!</definedName>
    <definedName name="SVODR_POK12_5">#REF!</definedName>
    <definedName name="SVODR_POK12_6">#REF!</definedName>
    <definedName name="SVODR_POK12_7">#REF!</definedName>
    <definedName name="SVODR_POK12_8">#REF!</definedName>
    <definedName name="SVODR_POK12_9">#REF!</definedName>
    <definedName name="SVODR_POK13_1">#REF!</definedName>
    <definedName name="SVODR_POK13_10">#REF!</definedName>
    <definedName name="SVODR_POK13_11">#REF!</definedName>
    <definedName name="SVODR_POK13_12">#REF!</definedName>
    <definedName name="SVODR_POK13_13">#REF!</definedName>
    <definedName name="SVODR_POK13_14">#REF!</definedName>
    <definedName name="SVODR_POK13_15">#REF!</definedName>
    <definedName name="SVODR_POK13_16">#REF!</definedName>
    <definedName name="SVODR_POK13_17">#REF!</definedName>
    <definedName name="SVODR_POK13_18">#REF!</definedName>
    <definedName name="SVODR_POK13_19">#REF!</definedName>
    <definedName name="SVODR_POK13_2">#REF!</definedName>
    <definedName name="SVODR_POK13_20">#REF!</definedName>
    <definedName name="SVODR_POK13_21">#REF!</definedName>
    <definedName name="SVODR_POK13_22">#REF!</definedName>
    <definedName name="SVODR_POK13_23">#REF!</definedName>
    <definedName name="SVODR_POK13_24">#REF!</definedName>
    <definedName name="SVODR_POK13_25">#REF!</definedName>
    <definedName name="SVODR_POK13_26">#REF!</definedName>
    <definedName name="SVODR_POK13_27">#REF!</definedName>
    <definedName name="SVODR_POK13_28">#REF!</definedName>
    <definedName name="SVODR_POK13_29">#REF!</definedName>
    <definedName name="SVODR_POK13_3">#REF!</definedName>
    <definedName name="SVODR_POK13_30">#REF!</definedName>
    <definedName name="SVODR_POK13_31">#REF!</definedName>
    <definedName name="SVODR_POK13_32">#REF!</definedName>
    <definedName name="SVODR_POK13_33">#REF!</definedName>
    <definedName name="SVODR_POK13_34">#REF!</definedName>
    <definedName name="SVODR_POK13_4">#REF!</definedName>
    <definedName name="SVODR_POK13_5">#REF!</definedName>
    <definedName name="SVODR_POK13_6">#REF!</definedName>
    <definedName name="SVODR_POK13_7">#REF!</definedName>
    <definedName name="SVODR_POK13_8">#REF!</definedName>
    <definedName name="SVODR_POK13_9">#REF!</definedName>
    <definedName name="SVODV_POK03_15">#REF!</definedName>
    <definedName name="SVODV_POK03_16">#REF!</definedName>
    <definedName name="SVODV_POK03_17">#REF!</definedName>
    <definedName name="SVODV_POK03_18">#REF!</definedName>
    <definedName name="SVODV_POK03_19">#REF!</definedName>
    <definedName name="SVODV_POK03_20">#REF!</definedName>
    <definedName name="SVODV_POK03_21">#REF!</definedName>
    <definedName name="SVODV_POK03_22">#REF!</definedName>
    <definedName name="SVODV_POK04_15">#REF!</definedName>
    <definedName name="SVODV_POK04_16">#REF!</definedName>
    <definedName name="SVODV_POK04_17">#REF!</definedName>
    <definedName name="SVODV_POK04_18">#REF!</definedName>
    <definedName name="SVODV_POK04_19">#REF!</definedName>
    <definedName name="SVODV_POK04_20">#REF!</definedName>
    <definedName name="SVODV_POK04_21">#REF!</definedName>
    <definedName name="SVODV_POK04_22">#REF!</definedName>
    <definedName name="SVODV_POK05_15">#REF!</definedName>
    <definedName name="SVODV_POK05_16">#REF!</definedName>
    <definedName name="SVODV_POK05_17">#REF!</definedName>
    <definedName name="SVODV_POK05_18">#REF!</definedName>
    <definedName name="SVODV_POK05_19">#REF!</definedName>
    <definedName name="SVODV_POK05_20">#REF!</definedName>
    <definedName name="SVODV_POK05_21">#REF!</definedName>
    <definedName name="SVODV_POK05_22">#REF!</definedName>
    <definedName name="SVR">#NAME?</definedName>
    <definedName name="sw" hidden="1">#NAME?</definedName>
    <definedName name="Swadlincote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etareawg" localSheetId="2" hidden="1">{"vi1",#N/A,FALSE,"Financial Statements";"vi2",#N/A,FALSE,"Financial Statements";#N/A,#N/A,FALSE,"DCF"}</definedName>
    <definedName name="swetareawg" hidden="1">{"vi1",#N/A,FALSE,"Financial Statements";"vi2",#N/A,FALSE,"Financial Statements";#N/A,#N/A,FALSE,"DCF"}</definedName>
    <definedName name="swsrehsrtusrt" localSheetId="2" hidden="1">{"vi1",#N/A,FALSE,"Financial Statements";"vi2",#N/A,FALSE,"Financial Statements";#N/A,#N/A,FALSE,"DCF"}</definedName>
    <definedName name="swsrehsrtusrt" hidden="1">{"vi1",#N/A,FALSE,"Financial Statements";"vi2",#N/A,FALSE,"Financial Statements";#N/A,#N/A,FALSE,"DCF"}</definedName>
    <definedName name="Swvu.Для._.И.М..">#REF!</definedName>
    <definedName name="SXP" localSheetId="2" hidden="1">{"print95",#N/A,FALSE,"1995E.XLS";"print96",#N/A,FALSE,"1996E.XLS"}</definedName>
    <definedName name="SXP" hidden="1">{"print95",#N/A,FALSE,"1995E.XLS";"print96",#N/A,FALSE,"1996E.XLS"}</definedName>
    <definedName name="sykt" localSheetId="2">#REF!</definedName>
    <definedName name="sykt">#REF!</definedName>
    <definedName name="t" localSheetId="2" hidden="1">{"'Прайс'!$A$1:$L$318"}</definedName>
    <definedName name="t" hidden="1">{"'Прайс'!$A$1:$L$318"}</definedName>
    <definedName name="t05n" localSheetId="2" hidden="1">{#N/A,#N/A,FALSE,"т04"}</definedName>
    <definedName name="t05n" hidden="1">{#N/A,#N/A,FALSE,"т04"}</definedName>
    <definedName name="t05nn" localSheetId="2" hidden="1">{#N/A,#N/A,FALSE,"т04"}</definedName>
    <definedName name="t05nn" hidden="1">{#N/A,#N/A,FALSE,"т04"}</definedName>
    <definedName name="table" localSheetId="2">#REF!</definedName>
    <definedName name="table">#REF!</definedName>
    <definedName name="Table3">#REF!</definedName>
    <definedName name="tanya" localSheetId="2" hidden="1">{#N/A,#N/A,FALSE,"Aging Summary";#N/A,#N/A,FALSE,"Ratio Analysis";#N/A,#N/A,FALSE,"Test 120 Day Accts";#N/A,#N/A,FALSE,"Tickmarks"}</definedName>
    <definedName name="tanya" hidden="1">{#N/A,#N/A,FALSE,"Aging Summary";#N/A,#N/A,FALSE,"Ratio Analysis";#N/A,#N/A,FALSE,"Test 120 Day Accts";#N/A,#N/A,FALSE,"Tickmarks"}</definedName>
    <definedName name="Target_EIRR">#NAME?</definedName>
    <definedName name="tax">#REF!</definedName>
    <definedName name="Tax_Depr_Mode">#REF!</definedName>
    <definedName name="Taxes" localSheetId="2" hidden="1">{"Supporting Schedules",#N/A,FALSE,"Results"}</definedName>
    <definedName name="Taxes" hidden="1">{"Supporting Schedules",#N/A,FALSE,"Results"}</definedName>
    <definedName name="tblPeriod_NO_PERID" hidden="1">#NAME?</definedName>
    <definedName name="tColData" localSheetId="2">#REF!</definedName>
    <definedName name="tColData">#REF!</definedName>
    <definedName name="tCurCurs" localSheetId="2">#REF!</definedName>
    <definedName name="tCurCurs">#REF!</definedName>
    <definedName name="tCurName" localSheetId="2">#REF!</definedName>
    <definedName name="tCurName">#REF!</definedName>
    <definedName name="td" localSheetId="2">#REF!</definedName>
    <definedName name="td">#REF!</definedName>
    <definedName name="td_for" localSheetId="2">#REF!</definedName>
    <definedName name="td_for">#REF!</definedName>
    <definedName name="td_rub" localSheetId="2">#REF!</definedName>
    <definedName name="td_rub">#REF!</definedName>
    <definedName name="tDataCol">#REF!</definedName>
    <definedName name="TehParams_DATECREATE" hidden="1">#NAME?</definedName>
    <definedName name="TehParams_DATEFROM" hidden="1">#NAME?</definedName>
    <definedName name="TehParams_DATETO" hidden="1">#NAME?</definedName>
    <definedName name="TehParams_IDFIRM" hidden="1">#NAME?</definedName>
    <definedName name="TehParams_IDSTRUCTS" hidden="1">#NAME?</definedName>
    <definedName name="TehParams_USER" hidden="1">#NAME?</definedName>
    <definedName name="temp" localSheetId="2" hidden="1">{"Supporting Schedules",#N/A,FALSE,"Results"}</definedName>
    <definedName name="temp" hidden="1">{"Supporting Schedules",#N/A,FALSE,"Results"}</definedName>
    <definedName name="Templ" localSheetId="2" hidden="1">{#N/A,#N/A,FALSE,"ORIX CSC"}</definedName>
    <definedName name="Templ" hidden="1">{#N/A,#N/A,FALSE,"ORIX CSC"}</definedName>
    <definedName name="Template" hidden="1">#REF!</definedName>
    <definedName name="tertw" localSheetId="2" hidden="1">{#N/A,#N/A,FALSE,"Aging Summary";#N/A,#N/A,FALSE,"Ratio Analysis";#N/A,#N/A,FALSE,"Test 120 Day Accts";#N/A,#N/A,FALSE,"Tickmarks"}</definedName>
    <definedName name="tertw" hidden="1">{#N/A,#N/A,FALSE,"Aging Summary";#N/A,#N/A,FALSE,"Ratio Analysis";#N/A,#N/A,FALSE,"Test 120 Day Accts";#N/A,#N/A,FALSE,"Tickmarks"}</definedName>
    <definedName name="teset" localSheetId="2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#REF!,#REF!</definedName>
    <definedName name="test_kurs" localSheetId="2">#REF!</definedName>
    <definedName name="test_kurs">#REF!</definedName>
    <definedName name="test1" localSheetId="2" hidden="1">{#N/A,#N/A,FALSE,"Umsatz";#N/A,#N/A,FALSE,"Base V.02";#N/A,#N/A,FALSE,"Charts"}</definedName>
    <definedName name="test1" hidden="1">{#N/A,#N/A,FALSE,"Umsatz";#N/A,#N/A,FALSE,"Base V.02";#N/A,#N/A,FALSE,"Charts"}</definedName>
    <definedName name="test3" localSheetId="2" hidden="1">{#N/A,#N/A,FALSE,"Profit Status";#N/A,#N/A,FALSE,"Invest";#N/A,#N/A,FALSE,"Revenue";#N/A,#N/A,FALSE,"Variable Cost";#N/A,#N/A,FALSE,"Options &amp; Series"}</definedName>
    <definedName name="test3" hidden="1">{#N/A,#N/A,FALSE,"Profit Status";#N/A,#N/A,FALSE,"Invest";#N/A,#N/A,FALSE,"Revenue";#N/A,#N/A,FALSE,"Variable Cost";#N/A,#N/A,FALSE,"Options &amp; Series"}</definedName>
    <definedName name="test4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xtRefCopyRangeCount">3</definedName>
    <definedName name="thierry" localSheetId="2" hidden="1">{"Totax",#N/A,FALSE,"Sheet1";#N/A,#N/A,FALSE,"Law Output"}</definedName>
    <definedName name="thierry" hidden="1">{"Totax",#N/A,FALSE,"Sheet1";#N/A,#N/A,FALSE,"Law Output"}</definedName>
    <definedName name="Tikmark" hidden="1">7</definedName>
    <definedName name="TimeToExpiry">#REF!</definedName>
    <definedName name="tInVal" localSheetId="2">#REF!</definedName>
    <definedName name="tInVal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mp">{#N/A,#N/A,FALSE,"NBU rates 1999"}</definedName>
    <definedName name="tNumCol" localSheetId="2">#REF!</definedName>
    <definedName name="tNumCol">#REF!</definedName>
    <definedName name="Tolerance">#NAME?</definedName>
    <definedName name="tolty" localSheetId="2">#REF!</definedName>
    <definedName name="tolty">#REF!</definedName>
    <definedName name="tomsk" localSheetId="2">#REF!</definedName>
    <definedName name="tomsk">#REF!</definedName>
    <definedName name="total" localSheetId="2">#REF!</definedName>
    <definedName name="total">#REF!</definedName>
    <definedName name="TOTAL_BUY">#REF!</definedName>
    <definedName name="total_market" localSheetId="2">#REF!</definedName>
    <definedName name="total_market">#REF!</definedName>
    <definedName name="TOTAL_SALE">#REF!</definedName>
    <definedName name="TradefinanceDocumentaryoperations">#REF!</definedName>
    <definedName name="Transfer_01GAAPNGWПеремещенияПроизводственные" hidden="1">#NAME?</definedName>
    <definedName name="Transfer_01GAAPNGWПеремещенияСоциальные" hidden="1">#NAME?</definedName>
    <definedName name="Transfer_01GAAPПеремещенияПроизводственные" hidden="1">#NAME?</definedName>
    <definedName name="Transfer_01GAAPПеремещенияСоциальные" hidden="1">#NAME?</definedName>
    <definedName name="Transfer_01БУПеремещенияПроизводственные" hidden="1">#NAME?</definedName>
    <definedName name="Transfer_01БУПеремещенияСоциальные" hidden="1">#NAME?</definedName>
    <definedName name="Transfer_07GAAP" hidden="1">#NAME?</definedName>
    <definedName name="Transfer_07GAAPNGW" hidden="1">#NAME?</definedName>
    <definedName name="Transfer_07БУ" hidden="1">#NAME?</definedName>
    <definedName name="Transfer_08GAAP" hidden="1">#NAME?</definedName>
    <definedName name="Transfer_08GAAPNGW" hidden="1">#NAME?</definedName>
    <definedName name="Transfer_08БУ" hidden="1">#NAME?</definedName>
    <definedName name="trdfthgfb" localSheetId="2" hidden="1">#REF!</definedName>
    <definedName name="trdfthgfb" hidden="1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ubAll" localSheetId="2">#REF!</definedName>
    <definedName name="tRubAll">#REF!</definedName>
    <definedName name="tRubData" localSheetId="2">#REF!</definedName>
    <definedName name="tRubData">#REF!</definedName>
    <definedName name="tRubTData" localSheetId="2">#REF!</definedName>
    <definedName name="tRubTData">#REF!</definedName>
    <definedName name="tRubTitle">#REF!</definedName>
    <definedName name="trurtgf" localSheetId="2" hidden="1">{#N/A,#N/A,FALSE,"Aging Summary";#N/A,#N/A,FALSE,"Ratio Analysis";#N/A,#N/A,FALSE,"Test 120 Day Accts";#N/A,#N/A,FALSE,"Tickmarks"}</definedName>
    <definedName name="trurtgf" hidden="1">{#N/A,#N/A,FALSE,"Aging Summary";#N/A,#N/A,FALSE,"Ratio Analysis";#N/A,#N/A,FALSE,"Test 120 Day Accts";#N/A,#N/A,FALSE,"Tickmarks"}</definedName>
    <definedName name="tt" localSheetId="2" hidden="1">{#N/A,#N/A,FALSE,"FA_1";#N/A,#N/A,FALSE,"Dep'n SE";#N/A,#N/A,FALSE,"Dep'n FC"}</definedName>
    <definedName name="tt" hidden="1">{#N/A,#N/A,FALSE,"FA_1";#N/A,#N/A,FALSE,"Dep'n SE";#N/A,#N/A,FALSE,"Dep'n FC"}</definedName>
    <definedName name="tt_BALANCE_CODE" hidden="1">#NAME?</definedName>
    <definedName name="tt_BALANCE_ID" hidden="1">#NAME?</definedName>
    <definedName name="tt_BALANCE_NAME" hidden="1">#NAME?</definedName>
    <definedName name="tt_BALANCE_NOTE" hidden="1">#NAME?</definedName>
    <definedName name="tt_BASE_CALC_CODE" hidden="1">#NAME?</definedName>
    <definedName name="tt_BASE_CALC_ID" hidden="1">#NAME?</definedName>
    <definedName name="tt_BASE_CALC_NAME" hidden="1">#NAME?</definedName>
    <definedName name="tt_BASE_SCENARIO_CODE" hidden="1">#NAME?</definedName>
    <definedName name="tt_BASE_SCENARIO_ID" hidden="1">#NAME?</definedName>
    <definedName name="tt_BASE_SCENARIO_NAME" hidden="1">#NAME?</definedName>
    <definedName name="tt_BASE_SCENARIO_NOTE" hidden="1">#NAME?</definedName>
    <definedName name="tt_BEG_DATE" hidden="1">#NAME?</definedName>
    <definedName name="tt_BINDING_CODE" hidden="1">#NAME?</definedName>
    <definedName name="tt_BINDING_ID" hidden="1">#NAME?</definedName>
    <definedName name="tt_BINDING_NAME" hidden="1">#NAME?</definedName>
    <definedName name="tt_BINDING_NOTE" hidden="1">#NAME?</definedName>
    <definedName name="tt_BONUS_CODE" hidden="1">#NAME?</definedName>
    <definedName name="tt_BONUS_ID" hidden="1">#NAME?</definedName>
    <definedName name="tt_BONUS_NAME" hidden="1">#NAME?</definedName>
    <definedName name="tt_BONUS_NOTE" hidden="1">#NAME?</definedName>
    <definedName name="tt_CHANGE_DATE" hidden="1">#NAME?</definedName>
    <definedName name="tt_CODE" hidden="1">#NAME?</definedName>
    <definedName name="tt_CREATE_DATE" hidden="1">#NAME?</definedName>
    <definedName name="tt_CUSTOM_CODE" hidden="1">#NAME?</definedName>
    <definedName name="tt_CUSTOM_ID" hidden="1">#NAME?</definedName>
    <definedName name="tt_CUSTOM_NAME" hidden="1">#NAME?</definedName>
    <definedName name="tt_CUSTOM_NOTE" hidden="1">#NAME?</definedName>
    <definedName name="tt_DEMAND_CODE" hidden="1">#NAME?</definedName>
    <definedName name="tt_DEMAND_ID" hidden="1">#NAME?</definedName>
    <definedName name="tt_DEMAND_NAME" hidden="1">#NAME?</definedName>
    <definedName name="tt_DEMAND_NOTE" hidden="1">#NAME?</definedName>
    <definedName name="tt_END_DATE" hidden="1">#NAME?</definedName>
    <definedName name="tt_EPOCH_COUNT" hidden="1">#NAME?</definedName>
    <definedName name="tt_EPOCH_INTERVAL_NAME" hidden="1">#NAME?</definedName>
    <definedName name="tt_FIXCOST_CODE" hidden="1">#NAME?</definedName>
    <definedName name="tt_FIXCOST_ID" hidden="1">#NAME?</definedName>
    <definedName name="tt_FIXCOST_NAME" hidden="1">#NAME?</definedName>
    <definedName name="tt_FIXCOST_NOTE" hidden="1">#NAME?</definedName>
    <definedName name="tt_FOLDER_ID" hidden="1">#NAME?</definedName>
    <definedName name="tt_FOLDER_NAME" hidden="1">#NAME?</definedName>
    <definedName name="tt_FOLDER_PARENT_ID" hidden="1">#NAME?</definedName>
    <definedName name="tt_FORECAST_CODE" hidden="1">#NAME?</definedName>
    <definedName name="tt_FORECAST_ID" hidden="1">#NAME?</definedName>
    <definedName name="tt_FORECAST_NAME" hidden="1">#NAME?</definedName>
    <definedName name="tt_FORECAST_NOTE" hidden="1">#NAME?</definedName>
    <definedName name="tt_FREIGHT_CODE" hidden="1">#NAME?</definedName>
    <definedName name="tt_FREIGHT_ID" hidden="1">#NAME?</definedName>
    <definedName name="tt_FREIGHT_NAME" hidden="1">#NAME?</definedName>
    <definedName name="tt_FREIGHT_NOTE" hidden="1">#NAME?</definedName>
    <definedName name="tt_ID" hidden="1">#NAME?</definedName>
    <definedName name="tt_IS_BASE" hidden="1">#NAME?</definedName>
    <definedName name="tt_IS_READ_ONLY" hidden="1">#NAME?</definedName>
    <definedName name="tt_MARKET_CODE" hidden="1">#NAME?</definedName>
    <definedName name="tt_MARKET_ID" hidden="1">#NAME?</definedName>
    <definedName name="tt_MARKET_NAME" hidden="1">#NAME?</definedName>
    <definedName name="tt_MARKET_TOTE" hidden="1">#NAME?</definedName>
    <definedName name="tt_NAME" hidden="1">#NAME?</definedName>
    <definedName name="tt_NOTE" hidden="1">#NAME?</definedName>
    <definedName name="tt_OPTIMEX_CODE" hidden="1">#NAME?</definedName>
    <definedName name="tt_OPTIMEX_ID" hidden="1">#NAME?</definedName>
    <definedName name="tt_OPTIMEX_NAME" hidden="1">#NAME?</definedName>
    <definedName name="tt_OWNER_ID" hidden="1">#NAME?</definedName>
    <definedName name="tt_OWNER_NAME" hidden="1">#NAME?</definedName>
    <definedName name="tt_OWNER_USER" hidden="1">#NAME?</definedName>
    <definedName name="tt_PARITY_CODE" hidden="1">#NAME?</definedName>
    <definedName name="tt_PARITY_ID" hidden="1">#NAME?</definedName>
    <definedName name="tt_PARITY_NAME" hidden="1">#NAME?</definedName>
    <definedName name="tt_PARITY_NOTE" hidden="1">#NAME?</definedName>
    <definedName name="tt_PRICING_CODE" hidden="1">#NAME?</definedName>
    <definedName name="tt_PRICING_ID" hidden="1">#NAME?</definedName>
    <definedName name="tt_PRICING_NAME" hidden="1">#NAME?</definedName>
    <definedName name="tt_PRICING_NOTE" hidden="1">#NAME?</definedName>
    <definedName name="tt_ROUTE_CODE" hidden="1">#NAME?</definedName>
    <definedName name="tt_ROUTE_ID" hidden="1">#NAME?</definedName>
    <definedName name="tt_ROUTE_NAME" hidden="1">#NAME?</definedName>
    <definedName name="tt_ROUTE_NOTE" hidden="1">#NAME?</definedName>
    <definedName name="tt_SENSITIVITY_CODE" hidden="1">#NAME?</definedName>
    <definedName name="tt_SENSITIVITY_ID" hidden="1">#NAME?</definedName>
    <definedName name="tt_SENSITIVITY_NAME" hidden="1">#NAME?</definedName>
    <definedName name="tt_SENSITIVITY_NOTE" hidden="1">#NAME?</definedName>
    <definedName name="tt_SPENDING_CODE" hidden="1">#NAME?</definedName>
    <definedName name="tt_SPENDING_ID" hidden="1">#NAME?</definedName>
    <definedName name="tt_SPENDING_NAME" hidden="1">#NAME?</definedName>
    <definedName name="tt_SPENDING_NOTE" hidden="1">#NAME?</definedName>
    <definedName name="tt_TRANCHE_CODE" hidden="1">#NAME?</definedName>
    <definedName name="tt_TRANCHE_ID" hidden="1">#NAME?</definedName>
    <definedName name="tt_TRANCHE_NAME" hidden="1">#NAME?</definedName>
    <definedName name="tt_TRANCHE_NOTE" hidden="1">#NAME?</definedName>
    <definedName name="tt_TRANSFERT_CODE" hidden="1">#NAME?</definedName>
    <definedName name="tt_TRANSFERT_ID" hidden="1">#NAME?</definedName>
    <definedName name="tt_TRANSFERT_NAME" hidden="1">#NAME?</definedName>
    <definedName name="tt_TRANSFERT_NOTE" hidden="1">#NAME?</definedName>
    <definedName name="tTable" localSheetId="2">#REF!</definedName>
    <definedName name="tTable">#REF!</definedName>
    <definedName name="tTitle" localSheetId="2">#REF!</definedName>
    <definedName name="tTitle">#REF!</definedName>
    <definedName name="ttt" localSheetId="2" hidden="1">{#N/A,#N/A,FALSE,"Год 99."}</definedName>
    <definedName name="ttt" hidden="1">{#N/A,#N/A,FALSE,"Год 99."}</definedName>
    <definedName name="ttt_BALANCE_CODE" hidden="1">#NAME?</definedName>
    <definedName name="ttt_BALANCE_ID" hidden="1">#NAME?</definedName>
    <definedName name="ttt_BALANCE_NAME" hidden="1">#NAME?</definedName>
    <definedName name="ttt_BALANCE_NOTE" hidden="1">#NAME?</definedName>
    <definedName name="ttt_BASE_CALC_CODE" hidden="1">#NAME?</definedName>
    <definedName name="ttt_BASE_CALC_ID" hidden="1">#NAME?</definedName>
    <definedName name="ttt_BASE_CALC_NAME" hidden="1">#NAME?</definedName>
    <definedName name="ttt_BASE_SCENARIO_CODE" hidden="1">#NAME?</definedName>
    <definedName name="ttt_BASE_SCENARIO_ID" hidden="1">#NAME?</definedName>
    <definedName name="ttt_BASE_SCENARIO_NAME" hidden="1">#NAME?</definedName>
    <definedName name="ttt_BASE_SCENARIO_NOTE" hidden="1">#NAME?</definedName>
    <definedName name="ttt_BEG_DATE" hidden="1">#NAME?</definedName>
    <definedName name="ttt_BINDING_CODE" hidden="1">#NAME?</definedName>
    <definedName name="ttt_BINDING_ID" hidden="1">#NAME?</definedName>
    <definedName name="ttt_BINDING_NAME" hidden="1">#NAME?</definedName>
    <definedName name="ttt_BINDING_NOTE" hidden="1">#NAME?</definedName>
    <definedName name="ttt_BONUS_CODE" hidden="1">#NAME?</definedName>
    <definedName name="ttt_BONUS_ID" hidden="1">#NAME?</definedName>
    <definedName name="ttt_BONUS_NAME" hidden="1">#NAME?</definedName>
    <definedName name="ttt_BONUS_NOTE" hidden="1">#NAME?</definedName>
    <definedName name="ttt_CHANGE_DATE" hidden="1">#NAME?</definedName>
    <definedName name="ttt_CODE" hidden="1">#NAME?</definedName>
    <definedName name="ttt_CREATE_DATE" hidden="1">#NAME?</definedName>
    <definedName name="ttt_CUSTOM_CODE" hidden="1">#NAME?</definedName>
    <definedName name="ttt_CUSTOM_ID" hidden="1">#NAME?</definedName>
    <definedName name="ttt_CUSTOM_NAME" hidden="1">#NAME?</definedName>
    <definedName name="ttt_CUSTOM_NOTE" hidden="1">#NAME?</definedName>
    <definedName name="ttt_DEMAND_CODE" hidden="1">#NAME?</definedName>
    <definedName name="ttt_DEMAND_ID" hidden="1">#NAME?</definedName>
    <definedName name="ttt_DEMAND_NAME" hidden="1">#NAME?</definedName>
    <definedName name="ttt_DEMAND_NOTE" hidden="1">#NAME?</definedName>
    <definedName name="ttt_END_DATE" hidden="1">#NAME?</definedName>
    <definedName name="ttt_EPOCH_COUNT" hidden="1">#NAME?</definedName>
    <definedName name="ttt_EPOCH_INTERVAL_NAME" hidden="1">#NAME?</definedName>
    <definedName name="ttt_FIXCOST_CODE" hidden="1">#NAME?</definedName>
    <definedName name="ttt_FIXCOST_ID" hidden="1">#NAME?</definedName>
    <definedName name="ttt_FIXCOST_NAME" hidden="1">#NAME?</definedName>
    <definedName name="ttt_FIXCOST_NOTE" hidden="1">#NAME?</definedName>
    <definedName name="ttt_FOLDER_ID" hidden="1">#NAME?</definedName>
    <definedName name="ttt_FOLDER_NAME" hidden="1">#NAME?</definedName>
    <definedName name="ttt_FOLDER_PARENT_ID" hidden="1">#NAME?</definedName>
    <definedName name="ttt_FORECAST_CODE" hidden="1">#NAME?</definedName>
    <definedName name="ttt_FORECAST_ID" hidden="1">#NAME?</definedName>
    <definedName name="ttt_FORECAST_NAME" hidden="1">#NAME?</definedName>
    <definedName name="ttt_FORECAST_NOTE" hidden="1">#NAME?</definedName>
    <definedName name="ttt_FREIGHT_CODE" hidden="1">#NAME?</definedName>
    <definedName name="ttt_FREIGHT_ID" hidden="1">#NAME?</definedName>
    <definedName name="ttt_FREIGHT_NAME" hidden="1">#NAME?</definedName>
    <definedName name="ttt_FREIGHT_NOTE" hidden="1">#NAME?</definedName>
    <definedName name="ttt_ID" hidden="1">#NAME?</definedName>
    <definedName name="ttt_IS_BASE" hidden="1">#NAME?</definedName>
    <definedName name="ttt_IS_READ_ONLY" hidden="1">#NAME?</definedName>
    <definedName name="ttt_MARKET_CODE" hidden="1">#NAME?</definedName>
    <definedName name="ttt_MARKET_ID" hidden="1">#NAME?</definedName>
    <definedName name="ttt_MARKET_NAME" hidden="1">#NAME?</definedName>
    <definedName name="ttt_MARKET_TOTE" hidden="1">#NAME?</definedName>
    <definedName name="ttt_NAME" hidden="1">#NAME?</definedName>
    <definedName name="ttt_NOTE" hidden="1">#NAME?</definedName>
    <definedName name="ttt_OPTIMEX_CODE" hidden="1">#NAME?</definedName>
    <definedName name="ttt_OPTIMEX_ID" hidden="1">#NAME?</definedName>
    <definedName name="ttt_OPTIMEX_NAME" hidden="1">#NAME?</definedName>
    <definedName name="ttt_OWNER_ID" hidden="1">#NAME?</definedName>
    <definedName name="ttt_OWNER_NAME" hidden="1">#NAME?</definedName>
    <definedName name="ttt_OWNER_USER" hidden="1">#NAME?</definedName>
    <definedName name="ttt_PARITY_CODE" hidden="1">#NAME?</definedName>
    <definedName name="ttt_PARITY_ID" hidden="1">#NAME?</definedName>
    <definedName name="ttt_PARITY_NAME" hidden="1">#NAME?</definedName>
    <definedName name="ttt_PARITY_NOTE" hidden="1">#NAME?</definedName>
    <definedName name="ttt_PRICING_CODE" hidden="1">#NAME?</definedName>
    <definedName name="ttt_PRICING_ID" hidden="1">#NAME?</definedName>
    <definedName name="ttt_PRICING_NAME" hidden="1">#NAME?</definedName>
    <definedName name="ttt_PRICING_NOTE" hidden="1">#NAME?</definedName>
    <definedName name="ttt_ROUTE_CODE" hidden="1">#NAME?</definedName>
    <definedName name="ttt_ROUTE_ID" hidden="1">#NAME?</definedName>
    <definedName name="ttt_ROUTE_NAME" hidden="1">#NAME?</definedName>
    <definedName name="ttt_ROUTE_NOTE" hidden="1">#NAME?</definedName>
    <definedName name="ttt_SENSITIVITY_CODE" hidden="1">#NAME?</definedName>
    <definedName name="ttt_SENSITIVITY_ID" hidden="1">#NAME?</definedName>
    <definedName name="ttt_SENSITIVITY_NAME" hidden="1">#NAME?</definedName>
    <definedName name="ttt_SENSITIVITY_NOTE" hidden="1">#NAME?</definedName>
    <definedName name="ttt_SPENDING_CODE" hidden="1">#NAME?</definedName>
    <definedName name="ttt_SPENDING_ID" hidden="1">#NAME?</definedName>
    <definedName name="ttt_SPENDING_NAME" hidden="1">#NAME?</definedName>
    <definedName name="ttt_SPENDING_NOTE" hidden="1">#NAME?</definedName>
    <definedName name="ttt_TRANCHE_CODE" hidden="1">#NAME?</definedName>
    <definedName name="ttt_TRANCHE_ID" hidden="1">#NAME?</definedName>
    <definedName name="ttt_TRANCHE_NAME" hidden="1">#NAME?</definedName>
    <definedName name="ttt_TRANCHE_NOTE" hidden="1">#NAME?</definedName>
    <definedName name="ttt_TRANSFERT_CODE" hidden="1">#NAME?</definedName>
    <definedName name="ttt_TRANSFERT_ID" hidden="1">#NAME?</definedName>
    <definedName name="ttt_TRANSFERT_NAME" hidden="1">#NAME?</definedName>
    <definedName name="ttt_TRANSFERT_NOTE" hidden="1">#NAME?</definedName>
    <definedName name="tula" localSheetId="2">#REF!</definedName>
    <definedName name="tula">#REF!</definedName>
    <definedName name="tumen" localSheetId="2">#REF!</definedName>
    <definedName name="tumen">#REF!</definedName>
    <definedName name="TURN">#REF!</definedName>
    <definedName name="TV" localSheetId="2" hidden="1">{"IAS Mapping",#N/A,TRUE,"RSA_FS"}</definedName>
    <definedName name="TV" hidden="1">{"IAS Mapping",#N/A,TRUE,"RSA_FS"}</definedName>
    <definedName name="tVal" localSheetId="2">#REF!</definedName>
    <definedName name="tVal">#REF!</definedName>
    <definedName name="tValAll" localSheetId="2">#REF!</definedName>
    <definedName name="tValAll">#REF!</definedName>
    <definedName name="tValAllCurs" localSheetId="2">#REF!</definedName>
    <definedName name="tValAllCurs">#REF!</definedName>
    <definedName name="tValCross">#REF!</definedName>
    <definedName name="tValData">#REF!</definedName>
    <definedName name="tValTable">#REF!</definedName>
    <definedName name="tValTitle">#REF!</definedName>
    <definedName name="tValUSD">#REF!</definedName>
    <definedName name="tValUSD2">#REF!</definedName>
    <definedName name="tver" localSheetId="2">#REF!</definedName>
    <definedName name="tver">#REF!</definedName>
    <definedName name="tyu" localSheetId="2" hidden="1">{#N/A,#N/A,FALSE,"Год 99."}</definedName>
    <definedName name="tyu" hidden="1">{#N/A,#N/A,FALSE,"Год 99."}</definedName>
    <definedName name="tZName" localSheetId="2">#REF!</definedName>
    <definedName name="tZName">#REF!</definedName>
    <definedName name="U1.02.D43" hidden="1">#NAME?</definedName>
    <definedName name="UDRG" localSheetId="2">#REF!</definedName>
    <definedName name="UDRG">#REF!</definedName>
    <definedName name="UDRG_TOT" localSheetId="2">#REF!</definedName>
    <definedName name="UDRG_TOT">#REF!</definedName>
    <definedName name="ufa" localSheetId="2">#REF!</definedName>
    <definedName name="ufa">#REF!</definedName>
    <definedName name="Ugol10">#REF!</definedName>
    <definedName name="Ugol11">#REF!</definedName>
    <definedName name="Ugol12">#REF!</definedName>
    <definedName name="Ugol13">#REF!</definedName>
    <definedName name="Ugol2">#REF!</definedName>
    <definedName name="Ugol3">#REF!</definedName>
    <definedName name="Ugol4">#REF!</definedName>
    <definedName name="Ugol5">#REF!</definedName>
    <definedName name="Ugol6">#REF!</definedName>
    <definedName name="Ugol7">#REF!</definedName>
    <definedName name="Ugol8">#REF!</definedName>
    <definedName name="Ugol9">#REF!</definedName>
    <definedName name="ugoll10">#REF!</definedName>
    <definedName name="ugoll11">#REF!</definedName>
    <definedName name="Ugoll5">#REF!</definedName>
    <definedName name="ugoll6">#REF!</definedName>
    <definedName name="ugoll7">#REF!</definedName>
    <definedName name="ugoll8">#REF!</definedName>
    <definedName name="ugoll9">#REF!</definedName>
    <definedName name="uhiuk" localSheetId="2" hidden="1">{"adj95mult",#N/A,FALSE,"COMPCO";"adj95est",#N/A,FALSE,"COMPCO"}</definedName>
    <definedName name="uhiuk" hidden="1">{"adj95mult",#N/A,FALSE,"COMPCO";"adj95est",#N/A,FALSE,"COMPCO"}</definedName>
    <definedName name="uio" localSheetId="2" hidden="1">{"mgmt forecast",#N/A,FALSE,"Mgmt Forecast";"dcf table",#N/A,FALSE,"Mgmt Forecast";"sensitivity",#N/A,FALSE,"Mgmt Forecast";"table inputs",#N/A,FALSE,"Mgmt Forecast";"calculations",#N/A,FALSE,"Mgmt Forecast"}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lyan" localSheetId="2">#REF!</definedName>
    <definedName name="ulyan">#REF!</definedName>
    <definedName name="UNI" localSheetId="2" hidden="1">{#N/A,#N/A,TRUE,"Смета на пасс. обор. №1"}</definedName>
    <definedName name="UNI" hidden="1">{#N/A,#N/A,TRUE,"Смета на пасс. обор. №1"}</definedName>
    <definedName name="URLRA">#REF!</definedName>
    <definedName name="URLRB">#REF!</definedName>
    <definedName name="URLRC">#REF!</definedName>
    <definedName name="URLRD">#REF!</definedName>
    <definedName name="URLRE">#REF!</definedName>
    <definedName name="URLRF">#REF!</definedName>
    <definedName name="URLRG">#REF!</definedName>
    <definedName name="URLRH">#REF!</definedName>
    <definedName name="URLRI">#REF!</definedName>
    <definedName name="URLRS">#REF!</definedName>
    <definedName name="usd" localSheetId="2">#REF!</definedName>
    <definedName name="USD">#NAME?</definedName>
    <definedName name="USD_311203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USD_31120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usd_311204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usd_311204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USNO_str">#REF!</definedName>
    <definedName name="uu">{#N/A,#N/A,TRUE,"Engineering Dept";#N/A,#N/A,TRUE,"Sales Dept";#N/A,#N/A,TRUE,"Marketing Dept";#N/A,#N/A,TRUE,"Admin Dept"}</definedName>
    <definedName name="uu_1" localSheetId="2" hidden="1">{#N/A,#N/A,TRUE,"Engineering Dept";#N/A,#N/A,TRUE,"Sales Dept";#N/A,#N/A,TRUE,"Marketing Dept";#N/A,#N/A,TRUE,"Admin Dept"}</definedName>
    <definedName name="uu_1" hidden="1">{#N/A,#N/A,TRUE,"Engineering Dept";#N/A,#N/A,TRUE,"Sales Dept";#N/A,#N/A,TRUE,"Marketing Dept";#N/A,#N/A,TRUE,"Admin Dept"}</definedName>
    <definedName name="uugol10" localSheetId="2">#REF!</definedName>
    <definedName name="uugol10">#REF!</definedName>
    <definedName name="uugol11" localSheetId="2">#REF!</definedName>
    <definedName name="uugol11">#REF!</definedName>
    <definedName name="Uugol5" localSheetId="2">#REF!</definedName>
    <definedName name="Uugol5">#REF!</definedName>
    <definedName name="Uugol6">#REF!</definedName>
    <definedName name="Uugol7">#REF!</definedName>
    <definedName name="Uugol8">#REF!</definedName>
    <definedName name="Uugol9">#REF!</definedName>
    <definedName name="uugoll5">#REF!</definedName>
    <definedName name="uuuuuuuuuuuu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uuuuuuuuuuuu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uy" hidden="1">#REF!</definedName>
    <definedName name="uyg" localSheetId="2" hidden="1">{"'РП (2)'!$A$5:$S$150"}</definedName>
    <definedName name="uyg" hidden="1">{"'РП (2)'!$A$5:$S$150"}</definedName>
    <definedName name="uytrewq" localSheetId="2" hidden="1">{"'РП (2)'!$A$5:$S$150"}</definedName>
    <definedName name="uytrewq" hidden="1">{"'РП (2)'!$A$5:$S$150"}</definedName>
    <definedName name="uytry" localSheetId="2" hidden="1">{"mgmt forecast",#N/A,FALSE,"Mgmt Forecast";"dcf table",#N/A,FALSE,"Mgmt Forecast";"sensitivity",#N/A,FALSE,"Mgmt Forecast";"table inputs",#N/A,FALSE,"Mgmt Forecast";"calculations",#N/A,FALSE,"Mgmt Forecast"}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v">#REF!</definedName>
    <definedName name="Vaga" localSheetId="2" hidden="1">{#N/A,#N/A,FALSE,"т02бд"}</definedName>
    <definedName name="Vaga" hidden="1">{#N/A,#N/A,FALSE,"т02бд"}</definedName>
    <definedName name="valut" localSheetId="2">#REF!</definedName>
    <definedName name="valut">#REF!</definedName>
    <definedName name="VALV" localSheetId="2" hidden="1">{#N/A,#N/A,TRUE,"Summary"}</definedName>
    <definedName name="VALV" hidden="1">{#N/A,#N/A,TRUE,"Summary"}</definedName>
    <definedName name="var">#NAME?</definedName>
    <definedName name="VAT_applicable">#REF!</definedName>
    <definedName name="VAt_rate">#NAME?</definedName>
    <definedName name="vbcvbv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endor">#NAME?</definedName>
    <definedName name="vgy" localSheetId="2" hidden="1">{0,0}</definedName>
    <definedName name="vgy" hidden="1">{0,0}</definedName>
    <definedName name="vgyvy" localSheetId="2" hidden="1">{0,0}</definedName>
    <definedName name="vgyvy" hidden="1">{0,0}</definedName>
    <definedName name="vjgf" localSheetId="2" hidden="1">{"'РП (2)'!$A$5:$S$150"}</definedName>
    <definedName name="vjgf" hidden="1">{"'РП (2)'!$A$5:$S$150"}</definedName>
    <definedName name="vladvstk" localSheetId="2">#REF!</definedName>
    <definedName name="vladvstk">#REF!</definedName>
    <definedName name="VLGRA">#REF!</definedName>
    <definedName name="VLGRB">#REF!</definedName>
    <definedName name="VLGRC">#REF!</definedName>
    <definedName name="VLGRD">#REF!</definedName>
    <definedName name="VLGRE">#REF!</definedName>
    <definedName name="VLGRF">#REF!</definedName>
    <definedName name="VLGRG">#REF!</definedName>
    <definedName name="VLGRH">#REF!</definedName>
    <definedName name="VLGRI">#REF!</definedName>
    <definedName name="VLGRS">#REF!</definedName>
    <definedName name="vn" localSheetId="2">#REF!</definedName>
    <definedName name="vn">#REF!</definedName>
    <definedName name="Volatility">#REF!</definedName>
    <definedName name="volg" localSheetId="2">#REF!</definedName>
    <definedName name="volg">#REF!</definedName>
    <definedName name="vologda" localSheetId="2">#REF!</definedName>
    <definedName name="vologda">#REF!</definedName>
    <definedName name="voron" localSheetId="2">#REF!</definedName>
    <definedName name="voron">#REF!</definedName>
    <definedName name="Vozvrat">#REF!</definedName>
    <definedName name="vrm.co" localSheetId="2" hidden="1">{#N/A,#N/A,TRUE,"DCF Summary";#N/A,#N/A,TRUE,"Casema";#N/A,#N/A,TRUE,"UK";#N/A,#N/A,TRUE,"RCF";#N/A,#N/A,TRUE,"Intercable CZ";#N/A,#N/A,TRUE,"Interkabel P";#N/A,#N/A,TRUE,"LBO-Total";#N/A,#N/A,TRUE,"LBO-Casema"}</definedName>
    <definedName name="vrm.co" hidden="1">{#N/A,#N/A,TRUE,"DCF Summary";#N/A,#N/A,TRUE,"Casema";#N/A,#N/A,TRUE,"UK";#N/A,#N/A,TRUE,"RCF";#N/A,#N/A,TRUE,"Intercable CZ";#N/A,#N/A,TRUE,"Interkabel P";#N/A,#N/A,TRUE,"LBO-Total";#N/A,#N/A,TRUE,"LBO-Casema"}</definedName>
    <definedName name="vstavka" localSheetId="2">#REF!</definedName>
    <definedName name="vstavka">#REF!</definedName>
    <definedName name="vur" localSheetId="2" hidden="1">#REF!</definedName>
    <definedName name="vur" hidden="1">#REF!</definedName>
    <definedName name="vural" localSheetId="2" hidden="1">#REF!</definedName>
    <definedName name="vural" hidden="1">#REF!</definedName>
    <definedName name="vv" localSheetId="2" hidden="1">{"orixcsc",#N/A,FALSE,"ORIX CSC";"orixcsc2",#N/A,FALSE,"ORIX CSC"}</definedName>
    <definedName name="vv" hidden="1">{"orixcsc",#N/A,FALSE,"ORIX CSC";"orixcsc2",#N/A,FALSE,"ORIX CSC"}</definedName>
    <definedName name="vvvv" localSheetId="2" hidden="1">{#N/A,#N/A,FALSE,"т02бд"}</definedName>
    <definedName name="vvvv" hidden="1">{#N/A,#N/A,FALSE,"т02бд"}</definedName>
    <definedName name="w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ef" hidden="1">#REF!</definedName>
    <definedName name="wer">{"Valuation_Common",#N/A,FALSE,"Valuation"}</definedName>
    <definedName name="wer_1">{"Valuation_Common",#N/A,FALSE,"Valuation"}</definedName>
    <definedName name="wer_2">{"Valuation_Common",#N/A,FALSE,"Valuation"}</definedName>
    <definedName name="weraw" localSheetId="2" hidden="1">{"mgmt forecast",#N/A,FALSE,"Mgmt Forecast";"dcf table",#N/A,FALSE,"Mgmt Forecast";"sensitivity",#N/A,FALSE,"Mgmt Forecast";"table inputs",#N/A,FALSE,"Mgmt Forecast";"calculations",#N/A,FALSE,"Mgmt Forecast"}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localSheetId="2" hidden="1">{"mgmt forecast",#N/A,FALSE,"Mgmt Forecast";"dcf table",#N/A,FALSE,"Mgmt Forecast";"sensitivity",#N/A,FALSE,"Mgmt Forecast";"table inputs",#N/A,FALSE,"Mgmt Forecast";"calculations",#N/A,FALSE,"Mgmt Forecast"}</definedName>
    <definedName name="were" hidden="1">{"mgmt forecast",#N/A,FALSE,"Mgmt Forecast";"dcf table",#N/A,FALSE,"Mgmt Forecast";"sensitivity",#N/A,FALSE,"Mgmt Forecast";"table inputs",#N/A,FALSE,"Mgmt Forecast";"calculations",#N/A,FALSE,"Mgmt Forecast"}</definedName>
    <definedName name="wert">{#N/A,#N/A,FALSE,"Sheet1"}</definedName>
    <definedName name="wertw">{"'CVB-Zinssatz Akt'!$A$2:$M$10","'CVB Ist'!$C$35:$O$37"}</definedName>
    <definedName name="Whitechapel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hitechape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ill" localSheetId="2" hidden="1">{#N/A,#N/A,FALSE,"magsep2";#N/A,#N/A,FALSE,"¾"" X ½""";#N/A,#N/A,FALSE,"½"" X ¼""";#N/A,#N/A,FALSE,"¼"" X 8 Mesh";#N/A,#N/A,FALSE,"8 X 14 Mesh"}</definedName>
    <definedName name="will" hidden="1">{#N/A,#N/A,FALSE,"magsep2";#N/A,#N/A,FALSE,"¾"" X ½""";#N/A,#N/A,FALSE,"½"" X ¼""";#N/A,#N/A,FALSE,"¼"" X 8 Mesh";#N/A,#N/A,FALSE,"8 X 14 Mesh"}</definedName>
    <definedName name="wqwe">{"'CVB-Zinssatz Akt'!$A$2:$M$10","'CVB Ist'!$C$35:$O$37"}</definedName>
    <definedName name="wr" localSheetId="2" hidden="1">{#N/A,#N/A,FALSE,"Summary";#N/A,#N/A,FALSE,"CF";#N/A,#N/A,FALSE,"P&amp;L";#N/A,#N/A,FALSE,"BS";#N/A,#N/A,FALSE,"Returns";#N/A,#N/A,FALSE,"Assumptions";#N/A,#N/A,FALSE,"Analysis"}</definedName>
    <definedName name="wr" hidden="1">{#N/A,#N/A,FALSE,"Summary";#N/A,#N/A,FALSE,"CF";#N/A,#N/A,FALSE,"P&amp;L";#N/A,#N/A,FALSE,"BS";#N/A,#N/A,FALSE,"Returns";#N/A,#N/A,FALSE,"Assumptions";#N/A,#N/A,FALSE,"Analysis"}</definedName>
    <definedName name="wr.1" localSheetId="2" hidden="1">{#N/A,#N/A,FALSE,"Summary";#N/A,#N/A,FALSE,"CF";#N/A,#N/A,FALSE,"P&amp;L";#N/A,#N/A,FALSE,"BS";#N/A,#N/A,FALSE,"Returns";#N/A,#N/A,FALSE,"Assumptions";#N/A,#N/A,FALSE,"Analysis"}</definedName>
    <definedName name="wr.1" hidden="1">{#N/A,#N/A,FALSE,"Summary";#N/A,#N/A,FALSE,"CF";#N/A,#N/A,FALSE,"P&amp;L";#N/A,#N/A,FALSE,"BS";#N/A,#N/A,FALSE,"Returns";#N/A,#N/A,FALSE,"Assumptions";#N/A,#N/A,FALSE,"Analysis"}</definedName>
    <definedName name="wr.2" localSheetId="2" hidden="1">{"vi1",#N/A,FALSE,"Financial Statements";"vi2",#N/A,FALSE,"Financial Statements";#N/A,#N/A,FALSE,"DCF"}</definedName>
    <definedName name="wr.2" hidden="1">{"vi1",#N/A,FALSE,"Financial Statements";"vi2",#N/A,FALSE,"Financial Statements";#N/A,#N/A,FALSE,"DCF"}</definedName>
    <definedName name="wr.999" localSheetId="2" hidden="1">{#N/A,#N/A,FALSE,"Summary";#N/A,#N/A,FALSE,"CF";#N/A,#N/A,FALSE,"P&amp;L";"summary",#N/A,FALSE,"Returns";#N/A,#N/A,FALSE,"BS";"summary",#N/A,FALSE,"Analysis";#N/A,#N/A,FALSE,"Assumptions"}</definedName>
    <definedName name="wr.999" hidden="1">{#N/A,#N/A,FALSE,"Summary";#N/A,#N/A,FALSE,"CF";#N/A,#N/A,FALSE,"P&amp;L";"summary",#N/A,FALSE,"Returns";#N/A,#N/A,FALSE,"BS";"summary",#N/A,FALSE,"Analysis";#N/A,#N/A,FALSE,"Assumptions"}</definedName>
    <definedName name="wr.dcf.o" localSheetId="2" hidden="1">{#N/A,#N/A,FALSE,"DCF Summary";#N/A,#N/A,FALSE,"Casema";#N/A,#N/A,FALSE,"Casema NoTel";#N/A,#N/A,FALSE,"UK";#N/A,#N/A,FALSE,"RCF";#N/A,#N/A,FALSE,"Intercable CZ";#N/A,#N/A,FALSE,"Interkabel P"}</definedName>
    <definedName name="wr.dcf.o" hidden="1">{#N/A,#N/A,FALSE,"DCF Summary";#N/A,#N/A,FALSE,"Casema";#N/A,#N/A,FALSE,"Casema NoTel";#N/A,#N/A,FALSE,"UK";#N/A,#N/A,FALSE,"RCF";#N/A,#N/A,FALSE,"Intercable CZ";#N/A,#N/A,FALSE,"Interkabel P"}</definedName>
    <definedName name="Wrexham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" localSheetId="2" hidden="1">{"glc1",#N/A,FALSE,"GLC";"glc2",#N/A,FALSE,"GLC";"glc3",#N/A,FALSE,"GLC";"glc4",#N/A,FALSE,"GLC";"glc5",#N/A,FALSE,"GLC"}</definedName>
    <definedName name="wrn" hidden="1">{"glc1",#N/A,FALSE,"GLC";"glc2",#N/A,FALSE,"GLC";"glc3",#N/A,FALSE,"GLC";"glc4",#N/A,FALSE,"GLC";"glc5",#N/A,FALSE,"GLC"}</definedName>
    <definedName name="wrn.04." localSheetId="2" hidden="1">{#N/A,#N/A,FALSE,"т02бд"}</definedName>
    <definedName name="wrn.04." hidden="1">{#N/A,#N/A,FALSE,"т02бд"}</definedName>
    <definedName name="wrn.1." localSheetId="2" hidden="1">{#N/A,#N/A,FALSE,"Расчет вспомогательных"}</definedName>
    <definedName name="wrn.1." hidden="1">{#N/A,#N/A,FALSE,"Расчет вспомогательных"}</definedName>
    <definedName name="wrn.1._.TODO." localSheetId="2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0._.Per._.Cent._.Success.">{#N/A,"10% Success",FALSE,"Sales Forecast";#N/A,#N/A,FALSE,"Sheet2"}</definedName>
    <definedName name="wrn.10._.Per._.Cent._.Success._1">{#N/A,"10% Success",FALSE,"Sales Forecast";#N/A,#N/A,FALSE,"Sheet2"}</definedName>
    <definedName name="wrn.10._.Per._.Cent._.Success._2">{#N/A,"10% Success",FALSE,"Sales Forecast";#N/A,#N/A,FALSE,"Sheet2"}</definedName>
    <definedName name="wrn.100._.Per._.Cent._.Success.">{#N/A,"100% Success",TRUE,"Sales Forecast";#N/A,#N/A,TRUE,"Sheet2"}</definedName>
    <definedName name="wrn.100._.Per._.Cent._.Success._1">{#N/A,"100% Success",TRUE,"Sales Forecast";#N/A,#N/A,TRUE,"Sheet2"}</definedName>
    <definedName name="wrn.100._.Per._.Cent._.Success._2">{#N/A,"100% Success",TRUE,"Sales Forecast";#N/A,#N/A,TRUE,"Sheet2"}</definedName>
    <definedName name="wrn.1000" localSheetId="2" hidden="1">{#N/A,#N/A,FALSE,"Цех1";#N/A,#N/A,FALSE,"Цех5"}</definedName>
    <definedName name="wrn.1000" hidden="1">{#N/A,#N/A,FALSE,"Цех1";#N/A,#N/A,FALSE,"Цех5"}</definedName>
    <definedName name="wrn.1998." localSheetId="2" hidden="1">{#N/A,#N/A,FALSE,"Цех1";#N/A,#N/A,FALSE,"Цех5"}</definedName>
    <definedName name="wrn.1998." hidden="1">{#N/A,#N/A,FALSE,"Цех1";#N/A,#N/A,FALSE,"Цех5"}</definedName>
    <definedName name="wrn.1TODO." localSheetId="2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._.pagers." localSheetId="2" hidden="1">{"Cover",#N/A,FALSE,"Cover";"Summary",#N/A,FALSE,"Summarpage"}</definedName>
    <definedName name="wrn.2._.pagers." hidden="1">{"Cover",#N/A,FALSE,"Cover";"Summary",#N/A,FALSE,"Summarpage"}</definedName>
    <definedName name="wrn.2000." localSheetId="2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2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2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2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30._.Per._.Cent.">{#N/A,"30% Success",TRUE,"Sales Forecast";#N/A,#N/A,TRUE,"Sheet2"}</definedName>
    <definedName name="wrn.30._.Per._.Cent._1">{#N/A,"30% Success",TRUE,"Sales Forecast";#N/A,#N/A,TRUE,"Sheet2"}</definedName>
    <definedName name="wrn.30._.Per._.Cent._2">{#N/A,"30% Success",TRUE,"Sales Forecast";#N/A,#N/A,TRUE,"Sheet2"}</definedName>
    <definedName name="wrn.70._.Per._.Cent._.Success.">{#N/A,"70% Success",FALSE,"Sales Forecast";#N/A,#N/A,FALSE,"Sheet2"}</definedName>
    <definedName name="wrn.70._.Per._.Cent._.Success._1">{#N/A,"70% Success",FALSE,"Sales Forecast";#N/A,#N/A,FALSE,"Sheet2"}</definedName>
    <definedName name="wrn.70._.Per._.Cent._.Success._2">{#N/A,"70% Success",FALSE,"Sales Forecast";#N/A,#N/A,FALSE,"Sheet2"}</definedName>
    <definedName name="wrn.a" localSheetId="2" hidden="1">{#N/A,#N/A,FALSE,"Finanzplan";#N/A,#N/A,FALSE,"Bilanz";#N/A,#N/A,FALSE,"GuV"}</definedName>
    <definedName name="wrn.a" hidden="1">{#N/A,#N/A,FALSE,"Finanzplan";#N/A,#N/A,FALSE,"Bilanz";#N/A,#N/A,FALSE,"GuV"}</definedName>
    <definedName name="wrn.Accretion." localSheetId="2" hidden="1">{"Accretion",#N/A,FALSE,"Assum"}</definedName>
    <definedName name="wrn.Accretion." hidden="1">{"Accretion",#N/A,FALSE,"Assum"}</definedName>
    <definedName name="wrn.Acquisition_matrix." localSheetId="2" hidden="1">{"Acq_matrix",#N/A,FALSE,"Acquisition Matrix"}</definedName>
    <definedName name="wrn.Acquisition_matrix." hidden="1">{"Acq_matrix",#N/A,FALSE,"Acquisition Matrix"}</definedName>
    <definedName name="wrn.ACUMULADOS." localSheetId="2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dj95." localSheetId="2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and._Trend._.Analysis.2" localSheetId="2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>#REF!</definedName>
    <definedName name="wrn.All._.Data." localSheetId="2" hidden="1">{#N/A,#N/A,FALSE,"magsep2";#N/A,#N/A,FALSE,"¾"" X ½""";#N/A,#N/A,FALSE,"½"" X ¼""";#N/A,#N/A,FALSE,"¼"" X 8 Mesh";#N/A,#N/A,FALSE,"8 X 14 Mesh"}</definedName>
    <definedName name="wrn.All._.Data." hidden="1">{#N/A,#N/A,FALSE,"magsep2";#N/A,#N/A,FALSE,"¾"" X ½""";#N/A,#N/A,FALSE,"½"" X ¼""";#N/A,#N/A,FALSE,"¼"" X 8 Mesh";#N/A,#N/A,FALSE,"8 X 14 Mesh"}</definedName>
    <definedName name="wrn.All._.Financials." localSheetId="2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\All._.Plants." localSheetId="2" hidden="1">{"All Pages",#N/A,FALSE,"Plant 1 Exp";"All Pages",#N/A,FALSE,"Plant 2 Exp";"All Pages",#N/A,FALSE,"Plant 3 Exp";"All Pages",#N/A,FALSE,"Plant 4 Exp";"All Pages",#N/A,FALSE,"Total Vehicle"}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ages_Front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1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pages." localSheetId="2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nalisis._.Acumulado." localSheetId="2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2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analysis1." localSheetId="2" hidden="1">{#N/A,#N/A,FALSE,"activity"}</definedName>
    <definedName name="wrn.analysis1." hidden="1">{#N/A,#N/A,FALSE,"activity"}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>#REF!</definedName>
    <definedName name="wrn.AQUIROR._.DCF." localSheetId="2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umptions." localSheetId="2" hidden="1">{"Assumptions",#N/A,FALSE,"Assum"}</definedName>
    <definedName name="wrn.Assumptions." hidden="1">{"Assumptions",#N/A,FALSE,"Assum"}</definedName>
    <definedName name="wrn.astek." localSheetId="2" hidden="1">{#N/A,#N/A,TRUE,"Пресса";#N/A,#N/A,TRUE,"Метро";#N/A,#N/A,TRUE,"Щиты";#N/A,#N/A,TRUE,"График";#N/A,#N/A,TRUE,"График"}</definedName>
    <definedName name="wrn.astek.">#REF!</definedName>
    <definedName name="wrn.aug" localSheetId="2" hidden="1">{"det (May)",#N/A,FALSE,"June";"sum (MAY YTD)",#N/A,FALSE,"June YTD"}</definedName>
    <definedName name="wrn.aug">#REF!</definedName>
    <definedName name="wrn.augyt" localSheetId="2" hidden="1">{"det (May)",#N/A,FALSE,"June";"sum (MAY YTD)",#N/A,FALSE,"June YTD"}</definedName>
    <definedName name="wrn.augyt">#REF!</definedName>
    <definedName name="wrn.augYTD" localSheetId="2" hidden="1">{"det (May)",#N/A,FALSE,"June";"sum (MAY YTD)",#N/A,FALSE,"June YTD"}</definedName>
    <definedName name="wrn.augYTD">#REF!</definedName>
    <definedName name="wrn.B10." localSheetId="2" hidden="1">{"B10-2000",#N/A,FALSE,"BL2000"}</definedName>
    <definedName name="wrn.B10." hidden="1">{"B10-2000",#N/A,FALSE,"BL2000"}</definedName>
    <definedName name="wrn.Back._.Page." localSheetId="2" hidden="1">{"Back Page",#N/A,FALSE,"Front and Back"}</definedName>
    <definedName name="wrn.Back._.Page." hidden="1">{"Back Page",#N/A,FALSE,"Front and Back"}</definedName>
    <definedName name="wrn.Back._.Page.2" localSheetId="2" hidden="1">{"Back Page",#N/A,FALSE,"Front and Back"}</definedName>
    <definedName name="wrn.Back._.Page.2" hidden="1">{"Back Page",#N/A,FALSE,"Front and Back"}</definedName>
    <definedName name="wrn.Base." localSheetId="2" hidden="1">{"Base_Economics",#N/A,FALSE,"BP Amoco Summary";"Base_MOD_CashFlows",#N/A,FALSE,"BP Amoco Summary"}</definedName>
    <definedName name="wrn.Base." hidden="1">{"Base_Economics",#N/A,FALSE,"BP Amoco Summary";"Base_MOD_CashFlows",#N/A,FALSE,"BP Amoco Summary"}</definedName>
    <definedName name="wrn.baseDEV." localSheetId="2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_.Report." localSheetId="2" hidden="1">{#N/A,#N/A,FALSE,"New Depr Sch-150% DB";#N/A,#N/A,FALSE,"Cash Flows RLP";#N/A,#N/A,FALSE,"IRR";#N/A,#N/A,FALSE,"Proforma IS";#N/A,#N/A,FALSE,"Assumptions"}</definedName>
    <definedName name="wrn.Basic._.Report.">#REF!</definedName>
    <definedName name="wrn.basicfin." localSheetId="2" hidden="1">{"assets",#N/A,FALSE,"historicBS";"liab",#N/A,FALSE,"historicBS";"is",#N/A,FALSE,"historicIS";"ratios",#N/A,FALSE,"ratios"}</definedName>
    <definedName name="wrn.basicfin." hidden="1">{"assets",#N/A,FALSE,"historicBS";"liab",#N/A,FALSE,"historicBS";"is",#N/A,FALSE,"historicIS";"ratios",#N/A,FALSE,"ratios"}</definedName>
    <definedName name="wrn.basicfin.2" localSheetId="2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L." localSheetId="2" hidden="1">{"BL2000",#N/A,FALSE,"BL2000"}</definedName>
    <definedName name="wrn.BL." hidden="1">{"BL2000",#N/A,FALSE,"BL2000"}</definedName>
    <definedName name="wrn.BOP_MIDTERM." localSheetId="2" hidden="1">{"BOP_TAB",#N/A,FALSE,"N";"MIDTERM_TAB",#N/A,FALSE,"O"}</definedName>
    <definedName name="wrn.BOP_MIDTERM." hidden="1">{"BOP_TAB",#N/A,FALSE,"N";"MIDTERM_TAB",#N/A,FALSE,"O"}</definedName>
    <definedName name="wrn.BPlan." localSheetId="2" hidden="1">{#N/A,#N/A,FALSE,"F_Plan";#N/A,#N/A,FALSE,"Parameter"}</definedName>
    <definedName name="wrn.BPlan." hidden="1">{#N/A,#N/A,FALSE,"F_Plan";#N/A,#N/A,FALSE,"Parameter"}</definedName>
    <definedName name="wrn.brol.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>#REF!</definedName>
    <definedName name="wrn.Bus._.Plan." localSheetId="2" hidden="1">{"Bus_Plan_Sht",#N/A,FALSE,"Bus Plan Sht"}</definedName>
    <definedName name="wrn.Bus._.Plan." hidden="1">{"Bus_Plan_Sht",#N/A,FALSE,"Bus Plan Sht"}</definedName>
    <definedName name="wrn.CAG." localSheetId="2" hidden="1">{#N/A,#N/A,FALSE,"CAG"}</definedName>
    <definedName name="wrn.CAG." hidden="1">{#N/A,#N/A,FALSE,"CAG"}</definedName>
    <definedName name="wrn.clientcopy.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>#REF!</definedName>
    <definedName name="wrn.co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1" hidden="1">{#N/A,#N/A,TRUE,"DCF Summary";#N/A,#N/A,TRUE,"Casema";#N/A,#N/A,TRUE,"UK";#N/A,#N/A,TRUE,"RCF";#N/A,#N/A,TRUE,"Intercable CZ";#N/A,#N/A,TRUE,"Interkabel P";#N/A,#N/A,TRUE,"LBO-Total";#N/A,#N/A,TRUE,"LBO-Casema"}</definedName>
    <definedName name="wrn.Coded._.IAS._.FS." localSheetId="2" hidden="1">{"IASTrail",#N/A,FALSE,"IAS"}</definedName>
    <definedName name="wrn.Coded._.IAS._.FS." hidden="1">{"IASTrail",#N/A,FALSE,"IAS"}</definedName>
    <definedName name="wrn.com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" hidden="1">{#N/A,#N/A,TRUE,"DCF Summary";#N/A,#N/A,TRUE,"Casema";#N/A,#N/A,TRUE,"UK";#N/A,#N/A,TRUE,"RCF";#N/A,#N/A,TRUE,"Intercable CZ";#N/A,#N/A,TRUE,"Interkabel P";#N/A,#N/A,TRUE,"LBO-Total";#N/A,#N/A,TRUE,"LBO-Casema"}</definedName>
    <definedName name="wrn.COMBINED." localSheetId="2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INED._1" localSheetId="2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NUS." localSheetId="2" hidden="1">{"COMNUS2000",#N/A,FALSE,"BL2000"}</definedName>
    <definedName name="wrn.COMNUS." hidden="1">{"COMNUS2000",#N/A,FALSE,"BL2000"}</definedName>
    <definedName name="wrn.COMPARISON." localSheetId="2" hidden="1">{"COMPARISON",#N/A,FALSE,"Sheet1"}</definedName>
    <definedName name="wrn.COMPARISON." hidden="1">{"COMPARISON",#N/A,FALSE,"Sheet1"}</definedName>
    <definedName name="wrn.compco." localSheetId="2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JPN." localSheetId="2" hidden="1">{"COMJPN2000",#N/A,FALSE,"BL2000"}</definedName>
    <definedName name="wrn.COMPJPN." hidden="1">{"COMJPN2000",#N/A,FALSE,"BL2000"}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Report." localSheetId="2" hidden="1">{#N/A,#N/A,FALSE,"Assumptions";#N/A,#N/A,FALSE,"Proforma IS";#N/A,#N/A,FALSE,"Cash Flows RLP";#N/A,#N/A,FALSE,"IRR";#N/A,#N/A,FALSE,"New Depr Sch-150% DB";#N/A,#N/A,FALSE,"Comments"}</definedName>
    <definedName name="wrn.Complete._.Report.">#REF!</definedName>
    <definedName name="wrn.CompleteTor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contribution." localSheetId="2" hidden="1">{#N/A,#N/A,FALSE,"Contribution Analysis"}</definedName>
    <definedName name="wrn.contribution." hidden="1">{#N/A,#N/A,FALSE,"Contribution Analysis"}</definedName>
    <definedName name="wrn.Costos." localSheetId="2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CPB." localSheetId="2" hidden="1">{#N/A,#N/A,FALSE,"CPB"}</definedName>
    <definedName name="wrn.CPB." hidden="1">{#N/A,#N/A,FALSE,"CPB"}</definedName>
    <definedName name="wrn.Credit._.Summary." localSheetId="2" hidden="1">{#N/A,#N/A,FALSE,"Credit Summary"}</definedName>
    <definedName name="wrn.Credit._.Summary." hidden="1">{#N/A,#N/A,FALSE,"Credit Summary"}</definedName>
    <definedName name="wrn.csc." localSheetId="2" hidden="1">{"orixcsc",#N/A,FALSE,"ORIX CSC";"orixcsc2",#N/A,FALSE,"ORIX CSC"}</definedName>
    <definedName name="wrn.csc." hidden="1">{"orixcsc",#N/A,FALSE,"ORIX CSC";"orixcsc2",#N/A,FALSE,"ORIX CSC"}</definedName>
    <definedName name="wrn.csc2." localSheetId="2" hidden="1">{#N/A,#N/A,FALSE,"ORIX CSC"}</definedName>
    <definedName name="wrn.csc2." hidden="1">{#N/A,#N/A,FALSE,"ORIX CSC"}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2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1" localSheetId="2" hidden="1">{#N/A,#N/A,FALSE,"DCF Summary";#N/A,#N/A,FALSE,"Casema";#N/A,#N/A,FALSE,"Casema NoTel";#N/A,#N/A,FALSE,"UK";#N/A,#N/A,FALSE,"RCF";#N/A,#N/A,FALSE,"Intercable CZ";#N/A,#N/A,FALSE,"Interkabel P"}</definedName>
    <definedName name="wrn.dcf1" hidden="1">{#N/A,#N/A,FALSE,"DCF Summary";#N/A,#N/A,FALSE,"Casema";#N/A,#N/A,FALSE,"Casema NoTel";#N/A,#N/A,FALSE,"UK";#N/A,#N/A,FALSE,"RCF";#N/A,#N/A,FALSE,"Intercable CZ";#N/A,#N/A,FALSE,"Interkabel P"}</definedName>
    <definedName name="wrn.dcf2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>#REF!</definedName>
    <definedName name="wrn.dcfort" localSheetId="2" hidden="1">{#N/A,#N/A,FALSE,"DCF Summary";#N/A,#N/A,FALSE,"Casema";#N/A,#N/A,FALSE,"Casema NoTel";#N/A,#N/A,FALSE,"UK";#N/A,#N/A,FALSE,"RCF";#N/A,#N/A,FALSE,"Intercable CZ";#N/A,#N/A,FALSE,"Interkabel P"}</definedName>
    <definedName name="wrn.dcfort" hidden="1">{#N/A,#N/A,FALSE,"DCF Summary";#N/A,#N/A,FALSE,"Casema";#N/A,#N/A,FALSE,"Casema NoTel";#N/A,#N/A,FALSE,"UK";#N/A,#N/A,FALSE,"RCF";#N/A,#N/A,FALSE,"Intercable CZ";#N/A,#N/A,FALSE,"Interkabel P"}</definedName>
    <definedName name="wrn.DCFTor" localSheetId="2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ecision._.Criteria._.Profile.">{#N/A,#N/A,FALSE,"Database"}</definedName>
    <definedName name="wrn.Department" localSheetId="2" hidden="1">{#N/A,#N/A,FALSE,"Engineering Dept";#N/A,#N/A,FALSE,"Sales Dept";#N/A,#N/A,FALSE,"Marketing Dept";#N/A,#N/A,FALSE,"Admin Dept";#N/A,#N/A,FALSE,"Total Operating Expenses"}</definedName>
    <definedName name="wrn.Department" hidden="1">{#N/A,#N/A,FALSE,"Engineering Dept";#N/A,#N/A,FALSE,"Sales Dept";#N/A,#N/A,FALSE,"Marketing Dept";#N/A,#N/A,FALSE,"Admin Dept";#N/A,#N/A,FALSE,"Total Operating Expenses"}</definedName>
    <definedName name="wrn.Department_1" localSheetId="2" hidden="1">{#N/A,#N/A,FALSE,"Engineering Dept";#N/A,#N/A,FALSE,"Sales Dept";#N/A,#N/A,FALSE,"Marketing Dept";#N/A,#N/A,FALSE,"Admin Dept";#N/A,#N/A,FALSE,"Total Operating Expenses"}</definedName>
    <definedName name="wrn.Department_1" hidden="1">{#N/A,#N/A,FALSE,"Engineering Dept";#N/A,#N/A,FALSE,"Sales Dept";#N/A,#N/A,FALSE,"Marketing Dept";#N/A,#N/A,FALSE,"Admin Dept";#N/A,#N/A,FALSE,"Total Operating Expenses"}</definedName>
    <definedName name="wrn.Departmentals.">{#N/A,#N/A,TRUE,"Engineering Dept";#N/A,#N/A,TRUE,"Sales Dept";#N/A,#N/A,TRUE,"Marketing Dept";#N/A,#N/A,TRUE,"Admin Dept"}</definedName>
    <definedName name="wrn.Departmentals._1" localSheetId="2" hidden="1">{#N/A,#N/A,TRUE,"Engineering Dept";#N/A,#N/A,TRUE,"Sales Dept";#N/A,#N/A,TRUE,"Marketing Dept";#N/A,#N/A,TRUE,"Admin Dept"}</definedName>
    <definedName name="wrn.Departmentals._1" hidden="1">{#N/A,#N/A,TRUE,"Engineering Dept";#N/A,#N/A,TRUE,"Sales Dept";#N/A,#N/A,TRUE,"Marketing Dept";#N/A,#N/A,TRUE,"Admin Dept"}</definedName>
    <definedName name="wrn.Departments.">{#N/A,#N/A,FALSE,"Engineering Dept";#N/A,#N/A,FALSE,"Sales Dept";#N/A,#N/A,FALSE,"Marketing Dept";#N/A,#N/A,FALSE,"Admin Dept";#N/A,#N/A,FALSE,"Total Operating Expenses"}</definedName>
    <definedName name="wrn.Departments._1" localSheetId="2" hidden="1">{#N/A,#N/A,FALSE,"Engineering Dept";#N/A,#N/A,FALSE,"Sales Dept";#N/A,#N/A,FALSE,"Marketing Dept";#N/A,#N/A,FALSE,"Admin Dept";#N/A,#N/A,FALSE,"Total Operating Expenses"}</definedName>
    <definedName name="wrn.Departments._1" hidden="1">{#N/A,#N/A,FALSE,"Engineering Dept";#N/A,#N/A,FALSE,"Sales Dept";#N/A,#N/A,FALSE,"Marketing Dept";#N/A,#N/A,FALSE,"Admin Dept";#N/A,#N/A,FALSE,"Total Operating Expenses"}</definedName>
    <definedName name="wrn.Detailed._.P._.and._.L." localSheetId="2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etailed._.P._.and._.L.2" localSheetId="2" hidden="1">{"P and L Detail Page 1",#N/A,FALSE,"Data";"P and L Detail Page 2",#N/A,FALSE,"Data"}</definedName>
    <definedName name="wrn.Detailed._.P._.and._.L.2" hidden="1">{"P and L Detail Page 1",#N/A,FALSE,"Data";"P and L Detail Page 2",#N/A,FALSE,"Data"}</definedName>
    <definedName name="wrn.Economic._.Value._.Added._.Analysis." localSheetId="2" hidden="1">{"EVA",#N/A,FALSE,"EVA";"WACC",#N/A,FALSE,"WACC"}</definedName>
    <definedName name="wrn.Economic._.Value._.Added._.Analysis." hidden="1">{"EVA",#N/A,FALSE,"EVA";"WACC",#N/A,FALSE,"WACC"}</definedName>
    <definedName name="wrn.Entire._.Model." localSheetId="2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ntire._.Model.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wrn.Eurofinance91125." localSheetId="2" hidden="1">{#N/A,#N/A,TRUE,"Fields";#N/A,#N/A,TRUE,"Sens"}</definedName>
    <definedName name="wrn.Eurofinance91125." hidden="1">{#N/A,#N/A,TRUE,"Fields";#N/A,#N/A,TRUE,"Sens"}</definedName>
    <definedName name="wrn.ex.">{#N/A,#N/A,FALSE,"NBU rates 1999"}</definedName>
    <definedName name="wrn.Extended.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FCB." localSheetId="2" hidden="1">{"FCB_ALL",#N/A,FALSE,"FCB"}</definedName>
    <definedName name="wrn.FCB." hidden="1">{"FCB_ALL",#N/A,FALSE,"FCB"}</definedName>
    <definedName name="wrn.fcb2" localSheetId="2" hidden="1">{"FCB_ALL",#N/A,FALSE,"FCB"}</definedName>
    <definedName name="wrn.fcb2" hidden="1">{"FCB_ALL",#N/A,FALSE,"FCB"}</definedName>
    <definedName name="wrn.Figaro._.Valuation._.Summary." localSheetId="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lecopy." localSheetId="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>#REF!</definedName>
    <definedName name="wrn.Financial._.Output." localSheetId="2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Output.2" localSheetId="2" hidden="1">{"P and L",#N/A,FALSE,"Financial Output";"Cashflow",#N/A,FALSE,"Financial Output";"Balance Sheet",#N/A,FALSE,"Financial Output"}</definedName>
    <definedName name="wrn.Financial._.Output.2" hidden="1">{"P and L",#N/A,FALSE,"Financial Output";"Cashflow",#N/A,FALSE,"Financial Output";"Balance Sheet",#N/A,FALSE,"Financial Output"}</definedName>
    <definedName name="wrn.Financial._.Statements." localSheetId="2" hidden="1">{"balance sheet",#N/A,FALSE,"balance sheet";#N/A,#N/A,FALSE,"income stmt (YTD)";"income stmt",#N/A,FALSE,"income stmt ";"cash flow YTD",#N/A,FALSE,"cash flow (YTD)";"cash flow",#N/A,FALSE,"cash flow "}</definedName>
    <definedName name="wrn.Financial._.Statements." hidden="1">{"balance sheet",#N/A,FALSE,"balance sheet";#N/A,#N/A,FALSE,"income stmt (YTD)";"income stmt",#N/A,FALSE,"income stmt ";"cash flow YTD",#N/A,FALSE,"cash flow (YTD)";"cash flow",#N/A,FALSE,"cash flow "}</definedName>
    <definedName name="wrn.Financials.">{#N/A,#N/A,TRUE,"Balance Sheet";#N/A,#N/A,TRUE,"Income Statement";#N/A,#N/A,TRUE,"Statement of Cash Flows";#N/A,#N/A,TRUE,"Key Indicators"}</definedName>
    <definedName name="wrn.Financials._1" localSheetId="2" hidden="1">{#N/A,#N/A,TRUE,"Balance Sheet";#N/A,#N/A,TRUE,"Income Statement";#N/A,#N/A,TRUE,"Statement of Cash Flows";#N/A,#N/A,TRUE,"Key Indicators"}</definedName>
    <definedName name="wrn.Financials._1" hidden="1">{#N/A,#N/A,TRUE,"Balance Sheet";#N/A,#N/A,TRUE,"Income Statement";#N/A,#N/A,TRUE,"Statement of Cash Flows";#N/A,#N/A,TRUE,"Key Indicators"}</definedName>
    <definedName name="wrn.Five._.Year._.Record." localSheetId="2" hidden="1">{"Five Year Record",#N/A,FALSE,"Front and Back"}</definedName>
    <definedName name="wrn.Five._.Year._.Record." hidden="1">{"Five Year Record",#N/A,FALSE,"Front and Back"}</definedName>
    <definedName name="wrn.Five._.Year._.Record.2" localSheetId="2" hidden="1">{"Five Year Record",#N/A,FALSE,"Front and Back"}</definedName>
    <definedName name="wrn.Five._.Year._.Record.2" hidden="1">{"Five Year Record",#N/A,FALSE,"Front and Back"}</definedName>
    <definedName name="wrn.Fixed._.Assets._.Note._.and._.Depreciation." localSheetId="2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leck." localSheetId="2" hidden="1">{"first",#N/A,FALSE,"FLEXPAC2";"second",#N/A,FALSE,"FLEXPAC2"}</definedName>
    <definedName name="wrn.fleck." hidden="1">{"first",#N/A,FALSE,"FLEXPAC2";"second",#N/A,FALSE,"FLEXPAC2"}</definedName>
    <definedName name="wrn.fleckcompac." localSheetId="2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#REF!</definedName>
    <definedName name="wrn.fred." localSheetId="2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ont._.Page." localSheetId="2" hidden="1">{"Front Page",#N/A,FALSE,"Front and Back"}</definedName>
    <definedName name="wrn.Front._.Page." hidden="1">{"Front Page",#N/A,FALSE,"Front and Back"}</definedName>
    <definedName name="wrn.Front._.Page.2" localSheetId="2" hidden="1">{"Front Page",#N/A,FALSE,"Front and Back"}</definedName>
    <definedName name="wrn.Front._.Page.2" hidden="1">{"Front Page",#N/A,FALSE,"Front and Back"}</definedName>
    <definedName name="wrn.Full." localSheetId="2" hidden="1">{#N/A,#N/A,FALSE,"Summary";#N/A,#N/A,FALSE,"CF";#N/A,#N/A,FALSE,"P&amp;L";#N/A,#N/A,FALSE,"BS";#N/A,#N/A,FALSE,"Returns";#N/A,#N/A,FALSE,"Assumptions";#N/A,#N/A,FALSE,"Analysis"}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Full._.IAS._.STATEMENTS." localSheetId="2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model.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TRAIL." localSheetId="2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Full._.without._.data.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2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eographic._.Trends." localSheetId="2" hidden="1">{"Geographic P1",#N/A,FALSE,"Division &amp; Geog"}</definedName>
    <definedName name="wrn.Geographic._.Trends." hidden="1">{"Geographic P1",#N/A,FALSE,"Division &amp; Geog"}</definedName>
    <definedName name="wrn.Geographic._.Trends.2" localSheetId="2" hidden="1">{"Geographic P1",#N/A,FALSE,"Division &amp; Geog"}</definedName>
    <definedName name="wrn.Geographic._.Trends.2" hidden="1">{"Geographic P1",#N/A,FALSE,"Division &amp; Geog"}</definedName>
    <definedName name="wrn.GIS." localSheetId="2" hidden="1">{#N/A,#N/A,FALSE,"GIS"}</definedName>
    <definedName name="wrn.GIS." hidden="1">{#N/A,#N/A,FALSE,"GIS"}</definedName>
    <definedName name="wrn.glc." localSheetId="2" hidden="1">{"glcbs",#N/A,FALSE,"GLCBS";"glccsbs",#N/A,FALSE,"GLCCSBS";"glcis",#N/A,FALSE,"GLCIS";"glccsis",#N/A,FALSE,"GLCCSIS";"glcrat1",#N/A,FALSE,"GLC-ratios1"}</definedName>
    <definedName name="wrn.glc." hidden="1">{"glcbs",#N/A,FALSE,"GLCBS";"glccsbs",#N/A,FALSE,"GLCCSBS";"glcis",#N/A,FALSE,"GLCIS";"glccsis",#N/A,FALSE,"GLCCSIS";"glcrat1",#N/A,FALSE,"GLC-ratios1"}</definedName>
    <definedName name="wrn.glcpromonte." localSheetId="2" hidden="1">{"glc1",#N/A,FALSE,"GLC";"glc2",#N/A,FALSE,"GLC";"glc3",#N/A,FALSE,"GLC";"glc4",#N/A,FALSE,"GLC";"glc5",#N/A,FALSE,"GLC"}</definedName>
    <definedName name="wrn.glcpromonte." hidden="1">{"glc1",#N/A,FALSE,"GLC";"glc2",#N/A,FALSE,"GLC";"glc3",#N/A,FALSE,"GLC";"glc4",#N/A,FALSE,"GLC";"glc5",#N/A,FALSE,"GLC"}</definedName>
    <definedName name="wrn.GRAPHS." localSheetId="2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APHS._1" localSheetId="2" hidden="1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Help." localSheetId="2" hidden="1">{#N/A,#N/A,TRUE,"MAP";#N/A,#N/A,TRUE,"STEPS";#N/A,#N/A,TRUE,"RULES"}</definedName>
    <definedName name="wrn.Help." hidden="1">{#N/A,#N/A,TRUE,"MAP";#N/A,#N/A,TRUE,"STEPS";#N/A,#N/A,TRUE,"RULES"}</definedName>
    <definedName name="wrn.HEW.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localSheetId="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>#REF!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>#REF!</definedName>
    <definedName name="wrn.HNZ." localSheetId="2" hidden="1">{#N/A,#N/A,FALSE,"HNZ"}</definedName>
    <definedName name="wrn.HNZ." hidden="1">{#N/A,#N/A,FALSE,"HNZ"}</definedName>
    <definedName name="wrn.HS_USA." localSheetId="2" hidden="1">{"HS_USA",#N/A,FALSE,"Base"}</definedName>
    <definedName name="wrn.HS_USA." hidden="1">{"HS_USA",#N/A,FALSE,"Base"}</definedName>
    <definedName name="wrn.IAS._.BS._.PL._.CF._.and._.Notes." localSheetId="2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2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2" hidden="1">{"IAS Mapping",#N/A,TRUE,"RSA_FS"}</definedName>
    <definedName name="wrn.IAS._.Mapping." hidden="1">{"IAS Mapping",#N/A,TRUE,"RSA_FS"}</definedName>
    <definedName name="wrn.imp." localSheetId="2" hidden="1">{"vue1",#N/A,FALSE,"synthese";"vue2",#N/A,FALSE,"synthese"}</definedName>
    <definedName name="wrn.imp." hidden="1">{"vue1",#N/A,FALSE,"synthese";"vue2",#N/A,FALSE,"synthese"}</definedName>
    <definedName name="wrn.INCPRE." localSheetId="2" hidden="1">{"INCPRE2000",#N/A,FALSE,"BL2000"}</definedName>
    <definedName name="wrn.INCPRE." hidden="1">{"INCPRE2000",#N/A,FALSE,"BL2000"}</definedName>
    <definedName name="wrn.Incremental." localSheetId="2" hidden="1">{"Incremental_Cashflows",#N/A,FALSE,"BP Amoco Summary";"Incremental_Economics",#N/A,FALSE,"BP Amoco Summary"}</definedName>
    <definedName name="wrn.Incremental." hidden="1">{"Incremental_Cashflows",#N/A,FALSE,"BP Amoco Summary";"Incremental_Economics",#N/A,FALSE,"BP Amoco Summary"}</definedName>
    <definedName name="wrn.Inflation._.factors._.used." localSheetId="2" hidden="1">{#N/A,#N/A,FALSE,"Infl_fact"}</definedName>
    <definedName name="wrn.Inflation._.factors._.used." hidden="1">{#N/A,#N/A,FALSE,"Infl_fact"}</definedName>
    <definedName name="wrn.Input._.and._.output._.tables.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#REF!</definedName>
    <definedName name="wrn.IO_luettelo." localSheetId="2" hidden="1">{"Jarjestelman_ioluettelo",#N/A,FALSE,"Short Circulation"}</definedName>
    <definedName name="wrn.IO_luettelo." hidden="1">{"Jarjestelman_ioluettelo",#N/A,FALSE,"Short Circulation"}</definedName>
    <definedName name="wrn.IPO._.Valuation." localSheetId="2" hidden="1">{"assumptions",#N/A,FALSE,"Scenario 1";"valuation",#N/A,FALSE,"Scenario 1"}</definedName>
    <definedName name="wrn.IPO._.Valuation." hidden="1">{"assumptions",#N/A,FALSE,"Scenario 1";"valuation",#N/A,FALSE,"Scenario 1"}</definedName>
    <definedName name="wrn.June." localSheetId="2" hidden="1">{"det (May)",#N/A,FALSE,"June";"sum (MAY YTD)",#N/A,FALSE,"June YTD"}</definedName>
    <definedName name="wrn.June.">#REF!</definedName>
    <definedName name="wrn.K." localSheetId="2" hidden="1">{#N/A,#N/A,FALSE,"K"}</definedName>
    <definedName name="wrn.K." hidden="1">{#N/A,#N/A,FALSE,"K"}</definedName>
    <definedName name="wrn.KH.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_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KK._.Review." localSheetId="2" hidden="1">{#N/A,#N/A,FALSE,"Cover";#N/A,#N/A,FALSE,"Profits";#N/A,#N/A,FALSE,"ABS";#N/A,#N/A,FALSE,"TFLE Detail";#N/A,#N/A,FALSE,"TFLE Walk";#N/A,#N/A,FALSE,"Variable Cost";#N/A,#N/A,FALSE,"V.C. Walk"}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W." localSheetId="2" hidden="1">{#N/A,#N/A,FALSE,"Cover";#N/A,#N/A,FALSE,"KKW Sum";#N/A,#N/A,FALSE,"KKW Basisdaten";#N/A,#N/A,FALSE,"DEPRKKW";#N/A,#N/A,FALSE,"Krü";#N/A,#N/A,FALSE,"Bru";#N/A,#N/A,FALSE,"Bro";#N/A,#N/A,FALSE,"Sta"}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LBO._.Summary." localSheetId="2" hidden="1">{"LBO Summary",#N/A,FALSE,"Summary"}</definedName>
    <definedName name="wrn.LBO._.Summary." hidden="1">{"LBO Summary",#N/A,FALSE,"Summary"}</definedName>
    <definedName name="wrn.lh97." localSheetId="2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nagementInfo.">{"Cover",#N/A,FALSE,"Cover";#N/A,#N/A,FALSE,"Kommentar";"GuV1",#N/A,FALSE,"Eingabe_Daten_GuV_Sonstiges";"Kennzahlen",#N/A,FALSE,"Eingabe_Daten_GuV_Sonstiges";"Eckdaten1",#N/A,FALSE,"Eckdaten_Versand"}</definedName>
    <definedName name="wrn.Manpower.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npower.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rch._.99._.Report." localSheetId="2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#REF!</definedName>
    <definedName name="wrn.MCCRK." localSheetId="2" hidden="1">{#N/A,#N/A,FALSE,"MCCRK"}</definedName>
    <definedName name="wrn.MCCRK." hidden="1">{#N/A,#N/A,FALSE,"MCCRK"}</definedName>
    <definedName name="wrn.MDABOP.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ENSUALES." localSheetId="2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MONA." localSheetId="2" hidden="1">{"MONA",#N/A,FALSE,"S"}</definedName>
    <definedName name="wrn.MONA." hidden="1">{"MONA",#N/A,FALSE,"S"}</definedName>
    <definedName name="wrn.Monatsabschluß." localSheetId="2" hidden="1">{#N/A,#N/A,FALSE,"Finanzplan";#N/A,#N/A,FALSE,"Bilanz";#N/A,#N/A,FALSE,"GuV"}</definedName>
    <definedName name="wrn.Monatsabschluß." hidden="1">{#N/A,#N/A,FALSE,"Finanzplan";#N/A,#N/A,FALSE,"Bilanz";#N/A,#N/A,FALSE,"GuV"}</definedName>
    <definedName name="wrn.NA." localSheetId="2" hidden="1">{#N/A,#N/A,FALSE,"NA"}</definedName>
    <definedName name="wrn.NA." hidden="1">{#N/A,#N/A,FALSE,"NA"}</definedName>
    <definedName name="wrn.new." localSheetId="2" hidden="1">{"new1",#N/A,FALSE,"FLEXPAC2";"new2",#N/A,FALSE,"FLEXPAC2"}</definedName>
    <definedName name="wrn.new." hidden="1">{"new1",#N/A,FALSE,"FLEXPAC2";"new2",#N/A,FALSE,"FLEXPAC2"}</definedName>
    <definedName name="wrn.newDEV." localSheetId="2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localSheetId="2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ne." localSheetId="2" hidden="1">{"page1",#N/A,FALSE,"A";"page2",#N/A,FALSE,"A"}</definedName>
    <definedName name="wrn.one." hidden="1">{"page1",#N/A,FALSE,"A";"page2",#N/A,FALSE,"A"}</definedName>
    <definedName name="wrn.opex.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riginal.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UTPUT." localSheetId="2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.tables." localSheetId="2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." localSheetId="2" hidden="1">{#N/A,#N/A,FALSE,"Comps";#N/A,#N/A,FALSE,"Finantials NL";#N/A,#N/A,FALSE,"Exit NL (2)";#N/A,#N/A,FALSE,"Finantials ZapSib ";#N/A,#N/A,FALSE,"Exit ZS (2)"}</definedName>
    <definedName name="wrn.p." hidden="1">{#N/A,#N/A,FALSE,"Comps";#N/A,#N/A,FALSE,"Finantials NL";#N/A,#N/A,FALSE,"Exit NL (2)";#N/A,#N/A,FALSE,"Finantials ZapSib ";#N/A,#N/A,FALSE,"Exit ZS (2)"}</definedName>
    <definedName name="wrn.PL." localSheetId="2" hidden="1">{"PL2000",#N/A,FALSE,"BL2000"}</definedName>
    <definedName name="wrn.PL." hidden="1">{"PL2000",#N/A,FALSE,"BL2000"}</definedName>
    <definedName name="wrn.PL._.Analysis." localSheetId="2" hidden="1">{"AnalRSA",#N/A,TRUE,"PL-Anal";"AnalIAS",#N/A,TRUE,"PL-Anal"}</definedName>
    <definedName name="wrn.PL._.Analysis." hidden="1">{"AnalRSA",#N/A,TRUE,"PL-Anal";"AnalIAS",#N/A,TRUE,"PL-Anal"}</definedName>
    <definedName name="wrn.PL._.Report.">{"Page1",#N/A,TRUE,"P&amp;LREP";"PAge 2",#N/A,TRUE,"P&amp;LREP";"Page3",#N/A,TRUE,"P&amp;LREP";"Page4",#N/A,TRUE,"P&amp;LREP"}</definedName>
    <definedName name="wrn.ppp." localSheetId="2" hidden="1">{#N/A,#N/A,FALSE,"ammount"}</definedName>
    <definedName name="wrn.ppp." hidden="1">{#N/A,#N/A,FALSE,"ammount"}</definedName>
    <definedName name="wrn.pq98o2a.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buy" localSheetId="2" hidden="1">{#N/A,"DR",FALSE,"increm pf";#N/A,"MAMSI",FALSE,"increm pf";#N/A,"MAXI",FALSE,"increm pf";#N/A,"PCAM",FALSE,"increm pf";#N/A,"PHSV",FALSE,"increm pf";#N/A,"SIE",FALSE,"increm pf"}</definedName>
    <definedName name="wrn.prbuy" hidden="1">{#N/A,"DR",FALSE,"increm pf";#N/A,"MAMSI",FALSE,"increm pf";#N/A,"MAXI",FALSE,"increm pf";#N/A,"PCAM",FALSE,"increm pf";#N/A,"PHSV",FALSE,"increm pf";#N/A,"SIE",FALSE,"increm pf"}</definedName>
    <definedName name="wrn.Presentační._.sestava.">{"Str.1",#N/A,FALSE,"Aktiva";"Str.2",#N/A,FALSE,"Aktiva";"Str.3",#N/A,FALSE,"Aktiva";"Str.4",#N/A,FALSE,"Aktiva";"Str.5",#N/A,FALSE,"Aktiva";"str1",#N/A,FALSE,"Pasíva";"str2",#N/A,FALSE,"Pasíva";"str3",#N/A,FALSE,"Pasíva";"str4",#N/A,FALSE,"Pasíva";#N/A,#N/A,FALSE,"Dopl. k pasívům";"str1",#N/A,FALSE,"Podrozvaha-aktiva";"str2",#N/A,FALSE,"Podrozvaha-aktiva";"str1",#N/A,FALSE,"Podrozvaha-pasíva";"str2",#N/A,FALSE,"Podrozvaha-pasíva";"str3",#N/A,FALSE,"Podrozvaha-pasíva"}</definedName>
    <definedName name="wrn.Presentation." localSheetId="2" hidden="1">{"Presentation",#N/A,FALSE,"Feb96 - ALL"}</definedName>
    <definedName name="wrn.Presentation." hidden="1">{"Presentation",#N/A,FALSE,"Feb96 - ALL"}</definedName>
    <definedName name="wrn.print." localSheetId="2" hidden="1">{#N/A,#N/A,FALSE,"Japan 2003";#N/A,#N/A,FALSE,"Sheet2"}</definedName>
    <definedName name="wrn.print.">#REF!</definedName>
    <definedName name="wrn.Print._.All._.Exhibits." localSheetId="2" hidden="1">{"Inc Stmt Dollar",#N/A,FALSE,"IS";"Inc Stmt CS",#N/A,FALSE,"IS";"BS Dollar",#N/A,FALSE,"BS";"BS CS",#N/A,FALSE,"BS";"CF Dollar",#N/A,FALSE,"CF";"Ratio No.1",#N/A,FALSE,"Ratio";"Ratio No.2",#N/A,FALSE,"Ratio"}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Pages.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BS._.Exhibits." localSheetId="2" hidden="1">{"BS Dollar",#N/A,FALSE,"BS";"BS CS",#N/A,FALSE,"BS"}</definedName>
    <definedName name="wrn.Print._.BS._.Exhibits." hidden="1">{"BS Dollar",#N/A,FALSE,"BS";"BS CS",#N/A,FALSE,"BS"}</definedName>
    <definedName name="wrn.Print._.CF._.Exhibit." localSheetId="2" hidden="1">{"CF Dollar",#N/A,FALSE,"CF"}</definedName>
    <definedName name="wrn.Print._.CF._.Exhibit." hidden="1">{"CF Dollar",#N/A,FALSE,"CF"}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S._.Exhibits." localSheetId="2" hidden="1">{"Inc Stmt Dollar",#N/A,FALSE,"IS";"Inc Stmt CS",#N/A,FALSE,"IS"}</definedName>
    <definedName name="wrn.Print._.IS._.Exhibits." hidden="1">{"Inc Stmt Dollar",#N/A,FALSE,"IS";"Inc Stmt CS",#N/A,FALSE,"IS"}</definedName>
    <definedName name="wrn.Print._.Ratio._.Exhibits." localSheetId="2" hidden="1">{"Ratio No.1",#N/A,FALSE,"Ratio";"Ratio No.2",#N/A,FALSE,"Ratio"}</definedName>
    <definedName name="wrn.Print._.Ratio._.Exhibits." hidden="1">{"Ratio No.1",#N/A,FALSE,"Ratio";"Ratio No.2",#N/A,FALSE,"Ratio"}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2" localSheetId="2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1" localSheetId="2" hidden="1">{"vi1",#N/A,FALSE,"Financial Statements";"vi2",#N/A,FALSE,"Financial Statements";#N/A,#N/A,FALSE,"DCF"}</definedName>
    <definedName name="wrn.Print._1" hidden="1">{"vi1",#N/A,FALSE,"Financial Statements";"vi2",#N/A,FALSE,"Financial Statements";#N/A,#N/A,FALSE,"DCF"}</definedName>
    <definedName name="wrn.Print_All." localSheetId="2" hidden="1">{"Summary",#N/A,FALSE,"Valuation Summary";"Financial Statements",#N/A,FALSE,"Results";"FCF",#N/A,FALSE,"Results"}</definedName>
    <definedName name="wrn.Print_All." hidden="1">{"Summary",#N/A,FALSE,"Valuation Summary";"Financial Statements",#N/A,FALSE,"Results";"FCF",#N/A,FALSE,"Results"}</definedName>
    <definedName name="wrn.Print_All_S2" localSheetId="2" hidden="1">{"Summary",#N/A,FALSE,"Valuation Summary";"Financial Statements",#N/A,FALSE,"Results";"FCF",#N/A,FALSE,"Results"}</definedName>
    <definedName name="wrn.Print_All_S2" hidden="1">{"Summary",#N/A,FALSE,"Valuation Summary";"Financial Statements",#N/A,FALSE,"Results";"FCF",#N/A,FALSE,"Results"}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>#REF!</definedName>
    <definedName name="wrn.Print_FCF." localSheetId="2" hidden="1">{"FCF",#N/A,FALSE,"Results"}</definedName>
    <definedName name="wrn.Print_FCF." hidden="1">{"FCF",#N/A,FALSE,"Results"}</definedName>
    <definedName name="wrn.Print_FCF_S2" localSheetId="2" hidden="1">{"FCF",#N/A,FALSE,"Results"}</definedName>
    <definedName name="wrn.Print_FCF_S2" hidden="1">{"FCF",#N/A,FALSE,"Results"}</definedName>
    <definedName name="wrn.Print_Financials." localSheetId="2" hidden="1">{"Financial Statements",#N/A,FALSE,"Results"}</definedName>
    <definedName name="wrn.Print_Financials." hidden="1">{"Financial Statements",#N/A,FALSE,"Results"}</definedName>
    <definedName name="wrn.Print_Financials_S2" localSheetId="2" hidden="1">{"Financial Statements",#N/A,FALSE,"Results"}</definedName>
    <definedName name="wrn.Print_Financials_S2" hidden="1">{"Financial Statements",#N/A,FALSE,"Results"}</definedName>
    <definedName name="wrn.Print_Summary." localSheetId="2" hidden="1">{"Summary",#N/A,FALSE,"Valuation Summary"}</definedName>
    <definedName name="wrn.Print_Summary." hidden="1">{"Summary",#N/A,FALSE,"Valuation Summary"}</definedName>
    <definedName name="wrn.Print_Summary_S2" localSheetId="2" hidden="1">{"Summary",#N/A,FALSE,"Valuation Summary"}</definedName>
    <definedName name="wrn.Print_Summary_S2" hidden="1">{"Summary",#N/A,FALSE,"Valuation Summary"}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#REF!</definedName>
    <definedName name="wrn.PRINT2." localSheetId="2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95and96." localSheetId="2" hidden="1">{"print95",#N/A,FALSE,"1995E.XLS";"print96",#N/A,FALSE,"1996E.XLS"}</definedName>
    <definedName name="wrn.print95and96." hidden="1">{"print95",#N/A,FALSE,"1995E.XLS";"print96",#N/A,FALSE,"1996E.XLS"}</definedName>
    <definedName name="wrn.Profit._.Analysis." localSheetId="2" hidden="1">{#N/A,#N/A,FALSE,"Profit Status";#N/A,#N/A,FALSE,"Invest";#N/A,#N/A,FALSE,"Revenue";#N/A,#N/A,FALSE,"Variable Cost";#N/A,#N/A,FALSE,"Options &amp; Series"}</definedName>
    <definedName name="wrn.Profit._.Analysis." hidden="1">{#N/A,#N/A,FALSE,"Profit Status";#N/A,#N/A,FALSE,"Invest";#N/A,#N/A,FALSE,"Revenue";#N/A,#N/A,FALSE,"Variable Cost";#N/A,#N/A,FALSE,"Options &amp; Series"}</definedName>
    <definedName name="wrn.Project." localSheetId="2" hidden="1">{"CAPEX Spending Profile",#N/A,FALSE,"Sheet1";"OPEX Spending Profile",#N/A,FALSE,"Sheet1";"Total Cost",#N/A,FALSE,"Sheet1";"Total Cost Profile",#N/A,FALSE,"Sheet1";"Production",#N/A,FALSE,"Sheet2"}</definedName>
    <definedName name="wrn.Project." hidden="1">{"CAPEX Spending Profile",#N/A,FALSE,"Sheet1";"OPEX Spending Profile",#N/A,FALSE,"Sheet1";"Total Cost",#N/A,FALSE,"Sheet1";"Total Cost Profile",#N/A,FALSE,"Sheet1";"Production",#N/A,FALSE,"Sheet2"}</definedName>
    <definedName name="wrn.Projections._.with._.Percentages." localSheetId="2" hidden="1">{"With%_99",#N/A,TRUE,"Sep-99";"With%_00",#N/A,TRUE,"Sep-00";"With%_01",#N/A,TRUE,"Sep-01"}</definedName>
    <definedName name="wrn.Projections._.with._.Percentages." hidden="1">{"With%_99",#N/A,TRUE,"Sep-99";"With%_00",#N/A,TRUE,"Sep-00";"With%_01",#N/A,TRUE,"Sep-01"}</definedName>
    <definedName name="wrn.Projections._.without._.Percentages." localSheetId="2" hidden="1">{"WO%_99",#N/A,TRUE,"Sep-99";"WO%_00",#N/A,TRUE,"Sep-00";"WO%_01",#N/A,TRUE,"Sep-01"}</definedName>
    <definedName name="wrn.Projections._.without._.Percentages." hidden="1">{"WO%_99",#N/A,TRUE,"Sep-99";"WO%_00",#N/A,TRUE,"Sep-00";"WO%_01",#N/A,TRUE,"Sep-01"}</definedName>
    <definedName name="wrn.Projections._.without._.Salaries." localSheetId="2" hidden="1">{"WOS_99",#N/A,TRUE,"Sep-99";"WOS_00",#N/A,TRUE,"Sep-00";"WOS_01",#N/A,TRUE,"Sep-01"}</definedName>
    <definedName name="wrn.Projections._.without._.Salaries." hidden="1">{"WOS_99",#N/A,TRUE,"Sep-99";"WOS_00",#N/A,TRUE,"Sep-00";"WOS_01",#N/A,TRUE,"Sep-01"}</definedName>
    <definedName name="wrn.prtn" localSheetId="2" hidden="1">{"vi1",#N/A,FALSE,"Financial Statements";"vi2",#N/A,FALSE,"Financial Statements";#N/A,#N/A,FALSE,"DCF"}</definedName>
    <definedName name="wrn.prtn" hidden="1">{"vi1",#N/A,FALSE,"Financial Statements";"vi2",#N/A,FALSE,"Financial Statements";#N/A,#N/A,FALSE,"DCF"}</definedName>
    <definedName name="wrn.PT." localSheetId="2" hidden="1">{"PT2000",#N/A,FALSE,"BL2000"}</definedName>
    <definedName name="wrn.PT." hidden="1">{"PT2000",#N/A,FALSE,"BL2000"}</definedName>
    <definedName name="wrn.Pulp." localSheetId="2" hidden="1">{"Pulp Production",#N/A,FALSE,"Pulp";"Pulp Earnings",#N/A,FALSE,"Pulp"}</definedName>
    <definedName name="wrn.Pulp." hidden="1">{"Pulp Production",#N/A,FALSE,"Pulp";"Pulp Earnings",#N/A,FALSE,"Pulp"}</definedName>
    <definedName name="wrn.quotation." localSheetId="2" hidden="1">{#N/A,#N/A,TRUE,"Summary"}</definedName>
    <definedName name="wrn.quotation." hidden="1">{#N/A,#N/A,TRUE,"Summary"}</definedName>
    <definedName name="wrn.radio" localSheetId="2" hidden="1">{#N/A,#N/A,FALSE,"Virgin Flightdeck"}</definedName>
    <definedName name="wrn.radio" hidden="1">{#N/A,#N/A,FALSE,"Virgin Flightdeck"}</definedName>
    <definedName name="wrn.Radio." localSheetId="2" hidden="1">{#N/A,#N/A,FALSE,"Virgin Flightdeck"}</definedName>
    <definedName name="wrn.Radio." hidden="1">{#N/A,#N/A,FALSE,"Virgin Flightdeck"}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#REF!</definedName>
    <definedName name="wrn.report." localSheetId="2" hidden="1">{"a",#N/A,FALSE,"Fact Sheet";"a",#N/A,FALSE,"DCFEVA";"a",#N/A,FALSE,"Statements";"a",#N/A,FALSE,"Quarterly";"a",#N/A,FALSE,"Q Grid";"a",#N/A,FALSE,"Stockval";"a",#N/A,FALSE,"DDM"}</definedName>
    <definedName name="wrn.report." hidden="1">{"a",#N/A,FALSE,"Fact Sheet";"a",#N/A,FALSE,"DCFEVA";"a",#N/A,FALSE,"Statements";"a",#N/A,FALSE,"Quarterly";"a",#N/A,FALSE,"Q Grid";"a",#N/A,FALSE,"Stockval";"a",#N/A,FALSE,"DDM"}</definedName>
    <definedName name="wrn.report._1" localSheetId="2" hidden="1">{"a",#N/A,FALSE,"Fact Sheet";"a",#N/A,FALSE,"DCFEVA";"a",#N/A,FALSE,"Statements";"a",#N/A,FALSE,"Quarterly";"a",#N/A,FALSE,"Q Grid";"a",#N/A,FALSE,"Stockval";"a",#N/A,FALSE,"DDM"}</definedName>
    <definedName name="wrn.report._1" hidden="1">{"a",#N/A,FALSE,"Fact Sheet";"a",#N/A,FALSE,"DCFEVA";"a",#N/A,FALSE,"Statements";"a",#N/A,FALSE,"Quarterly";"a",#N/A,FALSE,"Q Grid";"a",#N/A,FALSE,"Stockval";"a",#N/A,FALSE,"DDM"}</definedName>
    <definedName name="wrn.REPORT1." localSheetId="2" hidden="1">{"PRINTME",#N/A,FALSE,"FINAL-10"}</definedName>
    <definedName name="wrn.REPORT1." hidden="1">{"PRINTME",#N/A,FALSE,"FINAL-10"}</definedName>
    <definedName name="wrn.Report2" localSheetId="2" hidden="1">{"PRINTME",#N/A,FALSE,"FINAL-10"}</definedName>
    <definedName name="wrn.Report2" hidden="1">{"PRINTME",#N/A,FALSE,"FINAL-10"}</definedName>
    <definedName name="wrn.RESULTS.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MENES." localSheetId="2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REVISED." localSheetId="2" hidden="1">{"REVISED",#N/A,FALSE,"Sheet1"}</definedName>
    <definedName name="wrn.REVISED." hidden="1">{"REVISED",#N/A,FALSE,"Sheet1"}</definedName>
    <definedName name="wrn.RISIFE40.">{"ris40_10_01",#N/A,TRUE,"RIS40_10";"ris40_10_02",#N/A,TRUE,"RIS40_10";"ris40_20_01",#N/A,TRUE,"RIS40_20";"ris40_20_02",#N/A,TRUE,"RIS40_20";"ris40_20_03",#N/A,TRUE,"RIS40_20";"ris40_30_01",#N/A,TRUE,"RIS40_30";"ris40_30_02",#N/A,TRUE,"RIS40_30"}</definedName>
    <definedName name="wrn.RSA._.BS._.and._.PL." localSheetId="2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s" localSheetId="2" hidden="1">{#N/A,#N/A,FALSE,"Summary";#N/A,#N/A,FALSE,"CF";#N/A,#N/A,FALSE,"P&amp;L";"summary",#N/A,FALSE,"Returns";#N/A,#N/A,FALSE,"BS";"summary",#N/A,FALSE,"Analysis";#N/A,#N/A,FALSE,"Assumptions"}</definedName>
    <definedName name="wrn.s" hidden="1">{#N/A,#N/A,FALSE,"Summary";#N/A,#N/A,FALSE,"CF";#N/A,#N/A,FALSE,"P&amp;L";"summary",#N/A,FALSE,"Returns";#N/A,#N/A,FALSE,"BS";"summary",#N/A,FALSE,"Analysis";#N/A,#N/A,FALSE,"Assumptions"}</definedName>
    <definedName name="wrn.Sales._.and._.LFL._.assumptions." localSheetId="2" hidden="1">{#N/A,#N/A,FALSE,"H1H2";"Sales by division",#N/A,FALSE,"H1H2";"LFL assumptions",#N/A,FALSE,"H1H2"}</definedName>
    <definedName name="wrn.Sales._.and._.LFL._.assumptions." hidden="1">{#N/A,#N/A,FALSE,"H1H2";"Sales by division",#N/A,FALSE,"H1H2";"LFL assumptions",#N/A,FALSE,"H1H2"}</definedName>
    <definedName name="wrn.Sapere." localSheetId="2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B_PRES." localSheetId="2" hidden="1">{#N/A,#N/A,TRUE,"Sheet16"}</definedName>
    <definedName name="wrn.SB_PRES." hidden="1">{#N/A,#N/A,TRUE,"Sheet16"}</definedName>
    <definedName name="wrn.sbr" localSheetId="2" hidden="1">{#N/A,#N/A,TRUE,"Sheet16"}</definedName>
    <definedName name="wrn.sbr" hidden="1">{#N/A,#N/A,TRUE,"Sheet16"}</definedName>
    <definedName name="wrn.sp2344." localSheetId="2" hidden="1">{#N/A,#N/A,TRUE,"Смета на пасс. обор. №1"}</definedName>
    <definedName name="wrn.sp2344." hidden="1">{#N/A,#N/A,TRUE,"Смета на пасс. обор. №1"}</definedName>
    <definedName name="wrn.sp2345" localSheetId="2" hidden="1">{#N/A,#N/A,TRUE,"Смета на пасс. обор. №1"}</definedName>
    <definedName name="wrn.sp2345" hidden="1">{#N/A,#N/A,TRUE,"Смета на пасс. обор. №1"}</definedName>
    <definedName name="wrn.sp2359" localSheetId="2" hidden="1">{#N/A,#N/A,TRUE,"Смета на пасс. обор. №1"}</definedName>
    <definedName name="wrn.sp2359" hidden="1">{#N/A,#N/A,TRUE,"Смета на пасс. обор. №1"}</definedName>
    <definedName name="wrn.STAND_ALONE_BOTH." localSheetId="2" hidden="1">{"FCB_ALL",#N/A,FALSE,"FCB";"GREY_ALL",#N/A,FALSE,"GREY"}</definedName>
    <definedName name="wrn.STAND_ALONE_BOTH." hidden="1">{"FCB_ALL",#N/A,FALSE,"FCB";"GREY_ALL",#N/A,FALSE,"GREY"}</definedName>
    <definedName name="wrn.Standard." localSheetId="2" hidden="1">{#N/A,#N/A,FALSE,"Service + Produktion kum";#N/A,#N/A,FALSE,"Produktion kum";#N/A,#N/A,FALSE,"Service kum";#N/A,#N/A,FALSE,"Service Monat";#N/A,#N/A,FALSE,"CARAT"}</definedName>
    <definedName name="wrn.Standard." hidden="1">{#N/A,#N/A,FALSE,"Service + Produktion kum";#N/A,#N/A,FALSE,"Produktion kum";#N/A,#N/A,FALSE,"Service kum";#N/A,#N/A,FALSE,"Service Monat";#N/A,#N/A,FALSE,"CARAT"}</definedName>
    <definedName name="wrn.STANDARD._.RACKS." localSheetId="2" hidden="1">{"IMRAK42x8x8",#N/A,TRUE,"IMRAK 1400 42U 800X800";"IMRAK32x6x6",#N/A,TRUE,"IMRAK 1400 32U 600x600";"IMRAK42x12x8",#N/A,TRUE,"IMRAK 1400 42U 1200x800";"IMRAK15x6x4",#N/A,TRUE,"IMRAK 400 15U FRONT SECTION"}</definedName>
    <definedName name="wrn.STANDARD._.RACKS." hidden="1">{"IMRAK42x8x8",#N/A,TRUE,"IMRAK 1400 42U 800X800";"IMRAK32x6x6",#N/A,TRUE,"IMRAK 1400 32U 600x600";"IMRAK42x12x8",#N/A,TRUE,"IMRAK 1400 42U 1200x800";"IMRAK15x6x4",#N/A,TRUE,"IMRAK 400 15U FRONT SECTION"}</definedName>
    <definedName name="wrn.Summary.">{#N/A,#N/A,FALSE,"Capex";#N/A,#N/A,FALSE,"Market"}</definedName>
    <definedName name="wrn.Summary._1">{#N/A,#N/A,FALSE,"Capex";#N/A,#N/A,FALSE,"Market"}</definedName>
    <definedName name="wrn.Summary._2">{#N/A,#N/A,FALSE,"Capex";#N/A,#N/A,FALSE,"Market"}</definedName>
    <definedName name="wrn.SVERKA." localSheetId="2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Tab02.">{#N/A,#N/A,TRUE,"Tab0201";#N/A,#N/A,TRUE,"Tab0202";#N/A,#N/A,TRUE,"Tab0203"}</definedName>
    <definedName name="wrn.tab05.">{#N/A,#N/A,FALSE,"Tab0501";#N/A,#N/A,FALSE,"Tab0502";#N/A,#N/A,FALSE,"Tab0503";#N/A,#N/A,FALSE,"Tab0504";#N/A,#N/A,FALSE,"Tab0505"}</definedName>
    <definedName name="wrn.TARGET._.DCF." localSheetId="2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CR." localSheetId="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st." localSheetId="2" hidden="1">{"Valuation_Common",#N/A,FALSE,"Valuation"}</definedName>
    <definedName name="wrn.test.">#REF!</definedName>
    <definedName name="wrn.test._1">{"Valuation_Common",#N/A,FALSE,"Valuation"}</definedName>
    <definedName name="wrn.test._2">{"Valuation_Common",#N/A,FALSE,"Valuation"}</definedName>
    <definedName name="wrn.Totar." localSheetId="2" hidden="1">{"Totax",#N/A,FALSE,"Sheet1";#N/A,#N/A,FALSE,"Law Output"}</definedName>
    <definedName name="wrn.Totar." hidden="1">{"Totax",#N/A,FALSE,"Sheet1";#N/A,#N/A,FALSE,"Law Output"}</definedName>
    <definedName name="wrn.Trading._.Summary." localSheetId="2" hidden="1">{#N/A,#N/A,FALSE,"Trading Summary"}</definedName>
    <definedName name="wrn.Trading._.Summary." hidden="1">{#N/A,#N/A,FALSE,"Trading Summary"}</definedName>
    <definedName name="wrn.trans." localSheetId="2" hidden="1">{#N/A,#N/A,FALSE,"TRANSNEW"}</definedName>
    <definedName name="wrn.trans." hidden="1">{#N/A,#N/A,FALSE,"TRANSNEW"}</definedName>
    <definedName name="wrn.UK._.Retail._.PLs." localSheetId="2" hidden="1">{"Clothing PL",#N/A,FALSE,"H1H2";"Food PL",#N/A,FALSE,"H1H2";"Group PL",#N/A,FALSE,"H1H2";"Home Furnishings PL",#N/A,FALSE,"H1H2"}</definedName>
    <definedName name="wrn.UK._.Retail._.PLs." hidden="1">{"Clothing PL",#N/A,FALSE,"H1H2";"Food PL",#N/A,FALSE,"H1H2";"Group PL",#N/A,FALSE,"H1H2";"Home Furnishings PL",#N/A,FALSE,"H1H2"}</definedName>
    <definedName name="wrn.ukazatele." localSheetId="2" hidden="1">{#N/A,#N/A,FALSE,"List A";#N/A,#N/A,FALSE,"ListB";#N/A,#N/A,FALSE,"ListC";#N/A,#N/A,FALSE,"ListCash";#N/A,#N/A,FALSE,"ListHF";#N/A,#N/A,FALSE,"ListUK";#N/A,#N/A,FALSE,"Graf"}</definedName>
    <definedName name="wrn.ukazatele." hidden="1">{#N/A,#N/A,FALSE,"List A";#N/A,#N/A,FALSE,"ListB";#N/A,#N/A,FALSE,"ListC";#N/A,#N/A,FALSE,"ListCash";#N/A,#N/A,FALSE,"ListHF";#N/A,#N/A,FALSE,"ListUK";#N/A,#N/A,FALSE,"Graf"}</definedName>
    <definedName name="wrn.Umsatz." localSheetId="2" hidden="1">{#N/A,#N/A,FALSE,"Umsatz";#N/A,#N/A,FALSE,"Base V.02";#N/A,#N/A,FALSE,"Charts"}</definedName>
    <definedName name="wrn.Umsatz." hidden="1">{#N/A,#N/A,FALSE,"Umsatz";#N/A,#N/A,FALSE,"Base V.02";#N/A,#N/A,FALSE,"Charts"}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#REF!</definedName>
    <definedName name="wrn.VALUATION._1" localSheetId="2" hidden="1">{#N/A,#N/A,FALSE,"Valuation Assumptions";#N/A,#N/A,FALSE,"Summary";#N/A,#N/A,FALSE,"DCF";#N/A,#N/A,FALSE,"Valuation";#N/A,#N/A,FALSE,"WACC";#N/A,#N/A,FALSE,"UBVH";#N/A,#N/A,FALSE,"Free Cash Flow"}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C2._.and._.VC3._.Thunderbird." localSheetId="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acc." localSheetId="2" hidden="1">{"Area1",#N/A,FALSE,"OREWACC";"Area2",#N/A,FALSE,"OREWACC"}</definedName>
    <definedName name="wrn.Wacc." hidden="1">{"Area1",#N/A,FALSE,"OREWACC";"Area2",#N/A,FALSE,"OREWACC"}</definedName>
    <definedName name="wrn.WEO." localSheetId="2" hidden="1">{"WEO",#N/A,FALSE,"T"}</definedName>
    <definedName name="wrn.WEO." hidden="1">{"WEO",#N/A,FALSE,"T"}</definedName>
    <definedName name="wrn.WWY." localSheetId="2" hidden="1">{#N/A,#N/A,FALSE,"WWY"}</definedName>
    <definedName name="wrn.WWY." hidden="1">{#N/A,#N/A,FALSE,"WWY"}</definedName>
    <definedName name="wrn.xrates." localSheetId="2" hidden="1">{#N/A,#N/A,FALSE,"1996";#N/A,#N/A,FALSE,"1995";#N/A,#N/A,FALSE,"1994"}</definedName>
    <definedName name="wrn.xrates." hidden="1">{#N/A,#N/A,FALSE,"1996";#N/A,#N/A,FALSE,"1995";#N/A,#N/A,FALSE,"1994"}</definedName>
    <definedName name="wrn.апрель.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апрель.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Баланс." localSheetId="2" hidden="1">{#N/A,#N/A,FALSE,"БАЛАНС"}</definedName>
    <definedName name="wrn.Баланс." hidden="1">{#N/A,#N/A,FALSE,"БАЛАНС"}</definedName>
    <definedName name="wrn.Баланс._1" localSheetId="2" hidden="1">{#N/A,#N/A,FALSE,"БАЛАНС"}</definedName>
    <definedName name="wrn.Баланс._1" hidden="1">{#N/A,#N/A,FALSE,"БАЛАНС"}</definedName>
    <definedName name="wrn.БЕЛЕБЕЕВСКИЙ._.МОЛОЧНЫЙ._.КОМБИНАТ.">{#N/A,#N/A,TRUE,"Лист1"}</definedName>
    <definedName name="wrn.вввв.">{#N/A,#N/A,TRUE,"Торги"}</definedName>
    <definedName name="wrn.Виробництво._.11._.міс." localSheetId="2" hidden="1">{#N/A,#N/A,TRUE,"попередні"}</definedName>
    <definedName name="wrn.Виробництво._.11._.міс." hidden="1">{#N/A,#N/A,TRUE,"попередні"}</definedName>
    <definedName name="wrn.д02." localSheetId="2" hidden="1">{#N/A,#N/A,FALSE,"т02бд"}</definedName>
    <definedName name="wrn.д02." hidden="1">{#N/A,#N/A,FALSE,"т02бд"}</definedName>
    <definedName name="wrn.закрыт." localSheetId="2" hidden="1">{#N/A,#N/A,FALSE,"Закрытые кредиты"}</definedName>
    <definedName name="wrn.закрыт." hidden="1">{#N/A,#N/A,FALSE,"Закрытые кредиты"}</definedName>
    <definedName name="wrn.Исполнение._.сметы._.затрат.">{#N/A,#N/A,FALSE,"Лист15"}</definedName>
    <definedName name="wrn.Исполнение._.смкты._.затарат.">{#N/A,#N/A,FALSE,"Лист15"}</definedName>
    <definedName name="wrn.ку." localSheetId="2" hidden="1">{#N/A,#N/A,TRUE,"Лист2"}</definedName>
    <definedName name="wrn.ку." hidden="1">{#N/A,#N/A,TRUE,"Лист2"}</definedName>
    <definedName name="wrn.Месячный._.отчет." localSheetId="2" hidden="1">{#N/A,#N/A,TRUE,"БДР отчет";#N/A,#N/A,TRUE,"БДДС отч";#N/A,#N/A,TRUE,"БОС"}</definedName>
    <definedName name="wrn.Месячный._.отчет." hidden="1">{#N/A,#N/A,TRUE,"БДР отчет";#N/A,#N/A,TRUE,"БДДС отч";#N/A,#N/A,TRUE,"БОС"}</definedName>
    <definedName name="wrn.Модель._.Интенсивника." localSheetId="2" hidden="1">{"Страница 1",#N/A,FALSE,"Модель Интенсивника";"Страница 2",#N/A,FALSE,"Модель Интенсивника";"Страница 3",#N/A,FALSE,"Модель Интенсивника"}</definedName>
    <definedName name="wrn.Модель._.Интенсивника." hidden="1">{"Страница 1",#N/A,FALSE,"Модель Интенсивника";"Страница 2",#N/A,FALSE,"Модель Интенсивника";"Страница 3",#N/A,FALSE,"Модель Интенсивника"}</definedName>
    <definedName name="wrn.Модель._.Интенсивника._.стр._.1._.и._.3." localSheetId="2" hidden="1">{"Страница 1",#N/A,FALSE,"Модель Интенсивника";"Страница 3",#N/A,FALSE,"Модель Интенсивника"}</definedName>
    <definedName name="wrn.Модель._.Интенсивника._.стр._.1._.и._.3." hidden="1">{"Страница 1",#N/A,FALSE,"Модель Интенсивника";"Страница 3",#N/A,FALSE,"Модель Интенсивника"}</definedName>
    <definedName name="wrn.Общая._.спецификация." localSheetId="2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бщая._.спецификация.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сновная._.спецификация." localSheetId="2" hidden="1">{#N/A,#N/A,FALSE,"КЦ15-1";#N/A,#N/A,FALSE,"КЦ14-1";#N/A,#N/A,FALSE,"КЦ13-1";#N/A,#N/A,FALSE,"КЦ12-1";#N/A,#N/A,FALSE,"КЦ11-1";#N/A,#N/A,FALSE,"КЦ11-2";#N/A,#N/A,FALSE,"КЦ10-1";#N/A,#N/A,FALSE,"КЦ9-1";#N/A,#N/A,FALSE,"КЦ8-1";#N/A,#N/A,FALSE,"КЦ7-1";#N/A,#N/A,FALSE,"КЦ6-1";#N/A,#N/A,FALSE,"КЦ5-1";#N/A,#N/A,FALSE,"КЦ4-1";#N/A,#N/A,FALSE,"КЦ3-1";#N/A,#N/A,FALSE,"КЦ2-1";#N/A,#N/A,FALSE,"КЦ2-2";#N/A,#N/A,FALSE,"КЦ1-1";#N/A,#N/A,FALSE,"КЦ0-2";#N/A,#N/A,FALSE,"КЦ0-1";#N/A,#N/A,FALSE,"Переход";#N/A,#N/A,FALSE,"Инструмент";#N/A,#N/A,FALSE,"Приборы";#N/A,#N/A,FALSE,"КЦП-1"}</definedName>
    <definedName name="wrn.Основная._.спецификация." hidden="1">{#N/A,#N/A,FALSE,"КЦ15-1";#N/A,#N/A,FALSE,"КЦ14-1";#N/A,#N/A,FALSE,"КЦ13-1";#N/A,#N/A,FALSE,"КЦ12-1";#N/A,#N/A,FALSE,"КЦ11-1";#N/A,#N/A,FALSE,"КЦ11-2";#N/A,#N/A,FALSE,"КЦ10-1";#N/A,#N/A,FALSE,"КЦ9-1";#N/A,#N/A,FALSE,"КЦ8-1";#N/A,#N/A,FALSE,"КЦ7-1";#N/A,#N/A,FALSE,"КЦ6-1";#N/A,#N/A,FALSE,"КЦ5-1";#N/A,#N/A,FALSE,"КЦ4-1";#N/A,#N/A,FALSE,"КЦ3-1";#N/A,#N/A,FALSE,"КЦ2-1";#N/A,#N/A,FALSE,"КЦ2-2";#N/A,#N/A,FALSE,"КЦ1-1";#N/A,#N/A,FALSE,"КЦ0-2";#N/A,#N/A,FALSE,"КЦ0-1";#N/A,#N/A,FALSE,"Переход";#N/A,#N/A,FALSE,"Инструмент";#N/A,#N/A,FALSE,"Приборы";#N/A,#N/A,FALSE,"КЦП-1"}</definedName>
    <definedName name="wrn.отчет." localSheetId="2" hidden="1">{#N/A,#N/A,FALSE,"кредит 2-ой этап (15+85)";#N/A,#N/A,FALSE,"кредит 3-ий этап (15+85)";#N/A,#N/A,FALSE,"производ прог";#N/A,#N/A,FALSE,"производ прог 2";#N/A,#N/A,FALSE,"производ прог 4";#N/A,#N/A,FALSE,"производ прог 5";#N/A,#N/A,FALSE,"производ прог 6";#N/A,#N/A,FALSE,"производ прог 7";#N/A,#N/A,FALSE,"производ прог 8";#N/A,#N/A,FALSE,"производ прог 9";#N/A,#N/A,FALSE,"Цена";#N/A,#N/A,FALSE,"Издержки продук.";#N/A,#N/A,FALSE,"Отчет о приб.";#N/A,#N/A,FALSE,"Фин. план";#N/A,#N/A,FALSE,"Баланс";#N/A,#N/A,FALSE,"Показатели";#N/A,#N/A,FALSE,"валютоокупаемость"}</definedName>
    <definedName name="wrn.отчет." hidden="1">{#N/A,#N/A,FALSE,"кредит 2-ой этап (15+85)";#N/A,#N/A,FALSE,"кредит 3-ий этап (15+85)";#N/A,#N/A,FALSE,"производ прог";#N/A,#N/A,FALSE,"производ прог 2";#N/A,#N/A,FALSE,"производ прог 4";#N/A,#N/A,FALSE,"производ прог 5";#N/A,#N/A,FALSE,"производ прог 6";#N/A,#N/A,FALSE,"производ прог 7";#N/A,#N/A,FALSE,"производ прог 8";#N/A,#N/A,FALSE,"производ прог 9";#N/A,#N/A,FALSE,"Цена";#N/A,#N/A,FALSE,"Издержки продук.";#N/A,#N/A,FALSE,"Отчет о приб.";#N/A,#N/A,FALSE,"Фин. план";#N/A,#N/A,FALSE,"Баланс";#N/A,#N/A,FALSE,"Показатели";#N/A,#N/A,FALSE,"валютоокупаемость"}</definedName>
    <definedName name="wrn.первый." localSheetId="2" hidden="1">{#N/A,#N/A,FALSE,"стоимость";#N/A,#N/A,FALSE,"амортизация";#N/A,#N/A,FALSE,"кредит 1-ый этап (15+85)";#N/A,#N/A,FALSE,"производ прог 1этап";#N/A,#N/A,FALSE,"производ прог 6";#N/A,#N/A,FALSE,"производ прог 7";#N/A,#N/A,FALSE,"производ прог 8";#N/A,#N/A,FALSE,"производ прог 9";#N/A,#N/A,FALSE,"Цена";#N/A,#N/A,FALSE,"Издержки про-ва";#N/A,#N/A,FALSE,"Издержки продук.";#N/A,#N/A,FALSE,"Раб. капитал";#N/A,#N/A,FALSE,"Отчет о приб.";#N/A,#N/A,FALSE,"Фин. план";#N/A,#N/A,FALSE,"Баланс";#N/A,#N/A,FALSE,"Показатели";#N/A,#N/A,FALSE,"валютоокупаемость"}</definedName>
    <definedName name="wrn.первый." hidden="1">{#N/A,#N/A,FALSE,"стоимость";#N/A,#N/A,FALSE,"амортизация";#N/A,#N/A,FALSE,"кредит 1-ый этап (15+85)";#N/A,#N/A,FALSE,"производ прог 1этап";#N/A,#N/A,FALSE,"производ прог 6";#N/A,#N/A,FALSE,"производ прог 7";#N/A,#N/A,FALSE,"производ прог 8";#N/A,#N/A,FALSE,"производ прог 9";#N/A,#N/A,FALSE,"Цена";#N/A,#N/A,FALSE,"Издержки про-ва";#N/A,#N/A,FALSE,"Издержки продук.";#N/A,#N/A,FALSE,"Раб. капитал";#N/A,#N/A,FALSE,"Отчет о приб.";#N/A,#N/A,FALSE,"Фин. план";#N/A,#N/A,FALSE,"Баланс";#N/A,#N/A,FALSE,"Показатели";#N/A,#N/A,FALSE,"валютоокупаемость"}</definedName>
    <definedName name="wrn.План._.продаж." localSheetId="2" hidden="1">{"План продаж",#N/A,FALSE,"товар"}</definedName>
    <definedName name="wrn.План._.продаж." hidden="1">{"План продаж",#N/A,FALSE,"товар"}</definedName>
    <definedName name="wrn.План._.товар." localSheetId="2" hidden="1">{"План товар",#N/A,FALSE,"товар"}</definedName>
    <definedName name="wrn.План._.товар." hidden="1">{"План товар",#N/A,FALSE,"товар"}</definedName>
    <definedName name="wrn.Потери." localSheetId="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rn.Потери.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rn.Расходы._.неуменьшающие._.базу._.налога._.на._.прибыль._.в._.1997.">{#N/A,#N/A,FALSE,"Sheet1"}</definedName>
    <definedName name="wrn.Расчет._.налога._.на._.прибыль._.1997.">{#N/A,#N/A,FALSE,"Sheet1"}</definedName>
    <definedName name="wrn.Расшифровка._.статей._.калькуляции." localSheetId="2" hidden="1">{#N/A,#N/A,FALSE,"Год 99."}</definedName>
    <definedName name="wrn.Расшифровка._.статей._.калькуляции." hidden="1">{#N/A,#N/A,FALSE,"Год 99."}</definedName>
    <definedName name="wrn.Спецификации." localSheetId="2" hidden="1">{#N/A,#N/A,TRUE,"КЦ11Аб";#N/A,#N/A,TRUE,"КЦ11Тл";#N/A,#N/A,TRUE,"КЦ12Тл";#N/A,#N/A,TRUE,"КЦ13Тл";#N/A,#N/A,TRUE,"КЦ14Тл";#N/A,#N/A,TRUE,"КЦ21Тл";#N/A,#N/A,TRUE,"КЦ22Тл";#N/A,#N/A,TRUE,"КЦ31Тл";#N/A,#N/A,TRUE,"КЦ32Тл";#N/A,#N/A,TRUE,"КЦ11Тн";#N/A,#N/A,TRUE,"Инструмент";#N/A,#N/A,TRUE,"Приборы"}</definedName>
    <definedName name="wrn.Спецификации." hidden="1">{#N/A,#N/A,TRUE,"КЦ11Аб";#N/A,#N/A,TRUE,"КЦ11Тл";#N/A,#N/A,TRUE,"КЦ12Тл";#N/A,#N/A,TRUE,"КЦ13Тл";#N/A,#N/A,TRUE,"КЦ14Тл";#N/A,#N/A,TRUE,"КЦ21Тл";#N/A,#N/A,TRUE,"КЦ22Тл";#N/A,#N/A,TRUE,"КЦ31Тл";#N/A,#N/A,TRUE,"КЦ32Тл";#N/A,#N/A,TRUE,"КЦ11Тн";#N/A,#N/A,TRUE,"Инструмент";#N/A,#N/A,TRUE,"Приборы"}</definedName>
    <definedName name="wrn.справк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справк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rn.справка._.для._.Отдела._.МС." localSheetId="2" hidden="1">{#VALUE!,#N/A,TRUE,0}</definedName>
    <definedName name="wrn.справка._.для._.Отдела._.МС." hidden="1">{#VALUE!,#N/A,TRUE,0}</definedName>
    <definedName name="wrn.Сравнение._.с._.отраслями." localSheetId="2" hidden="1">{#N/A,#N/A,TRUE,"Лист1";#N/A,#N/A,TRUE,"Лист2";#N/A,#N/A,TRUE,"Лист3"}</definedName>
    <definedName name="wrn.Сравнение._.с._.отраслями." hidden="1">{#N/A,#N/A,TRUE,"Лист1";#N/A,#N/A,TRUE,"Лист2";#N/A,#N/A,TRUE,"Лист3"}</definedName>
    <definedName name="wrn.т171банки." localSheetId="2" hidden="1">{#N/A,#N/A,FALSE,"т17-1банки (2)"}</definedName>
    <definedName name="wrn.т171банки." hidden="1">{#N/A,#N/A,FALSE,"т17-1банки (2)"}</definedName>
    <definedName name="wrn.Товарн.выраб._.А4." localSheetId="2" hidden="1">{"Товар.выработка без продаж",#N/A,FALSE,"товар"}</definedName>
    <definedName name="wrn.Товарн.выраб._.А4." hidden="1">{"Товар.выработка без продаж",#N/A,FALSE,"товар"}</definedName>
    <definedName name="wrn.Услуги.">{#N/A,#N/A,FALSE,"Распр Услуг без ген дир";#N/A,#N/A,FALSE,"распред без Ген дир";#N/A,#N/A,FALSE,"Бюджет МТК";#N/A,#N/A,FALSE,"Распр площадей";#N/A,#N/A,FALSE,"Распр СБ25";#N/A,#N/A,FALSE,"Распр ГХО24";#N/A,#N/A,FALSE,"Перс расхСБ";#N/A,#N/A,FALSE,"Перс расхГХО";#N/A,#N/A,FALSE,"Перс расх адм";#N/A,#N/A,FALSE,"распред";#N/A,#N/A,FALSE,"Распр Услуг";#N/A,#N/A,FALSE,"Распр Услуг с рук СБ"}</definedName>
    <definedName name="wrn.ФП_КМК." localSheetId="2" hidden="1">{#N/A,#N/A,FALSE,"Титул_ОСН";#N/A,#N/A,FALSE,"Итоги";#N/A,#N/A,FALSE,"Источники";#N/A,#N/A,FALSE,"ПрочПродажи";#N/A,#N/A,FALSE,"ЗП";#N/A,#N/A,FALSE,"Налоги";#N/A,#N/A,FALSE,"Энерго";#N/A,#N/A,FALSE,"Сырьё";#N/A,#N/A,FALSE,"Снабжение";#N/A,#N/A,FALSE,"Оборудование";#N/A,#N/A,FALSE,"Транспорт";#N/A,#N/A,FALSE,"Коммерция";#N/A,#N/A,FALSE,"ТЕК_РЕМ";#N/A,#N/A,FALSE,"КАП_РЕМ";#N/A,#N/A,FALSE,"КАП_СТР";#N/A,#N/A,FALSE,"НИОКР";#N/A,#N/A,FALSE,"Кадры";#N/A,#N/A,FALSE,"СОЦ";#N/A,#N/A,FALSE,"НепромПр";#N/A,#N/A,FALSE,"ФИНАНСЫ";#N/A,#N/A,FALSE,"Прочие";#N/A,#N/A,FALSE,"Гаш_кредит";#N/A,#N/A,FALSE,"ФП"}</definedName>
    <definedName name="wrn.ФП_КМК." hidden="1">{#N/A,#N/A,FALSE,"Титул_ОСН";#N/A,#N/A,FALSE,"Итоги";#N/A,#N/A,FALSE,"Источники";#N/A,#N/A,FALSE,"ПрочПродажи";#N/A,#N/A,FALSE,"ЗП";#N/A,#N/A,FALSE,"Налоги";#N/A,#N/A,FALSE,"Энерго";#N/A,#N/A,FALSE,"Сырьё";#N/A,#N/A,FALSE,"Снабжение";#N/A,#N/A,FALSE,"Оборудование";#N/A,#N/A,FALSE,"Транспорт";#N/A,#N/A,FALSE,"Коммерция";#N/A,#N/A,FALSE,"ТЕК_РЕМ";#N/A,#N/A,FALSE,"КАП_РЕМ";#N/A,#N/A,FALSE,"КАП_СТР";#N/A,#N/A,FALSE,"НИОКР";#N/A,#N/A,FALSE,"Кадры";#N/A,#N/A,FALSE,"СОЦ";#N/A,#N/A,FALSE,"НепромПр";#N/A,#N/A,FALSE,"ФИНАНСЫ";#N/A,#N/A,FALSE,"Прочие";#N/A,#N/A,FALSE,"Гаш_кредит";#N/A,#N/A,FALSE,"ФП"}</definedName>
    <definedName name="wrn1.aug" localSheetId="2" hidden="1">{"det (May)",#N/A,FALSE,"June";"sum (MAY YTD)",#N/A,FALSE,"June YTD"}</definedName>
    <definedName name="wrn1.aug">#REF!</definedName>
    <definedName name="wrn1.augtyd" localSheetId="2" hidden="1">{"det (May)",#N/A,FALSE,"June";"sum (MAY YTD)",#N/A,FALSE,"June YTD"}</definedName>
    <definedName name="wrn1.augtyd">#REF!</definedName>
    <definedName name="wrn1.augyt" localSheetId="2" hidden="1">{"det (May)",#N/A,FALSE,"June";"sum (MAY YTD)",#N/A,FALSE,"June YTD"}</definedName>
    <definedName name="wrn1.augyt">#REF!</definedName>
    <definedName name="wrn1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>#REF!</definedName>
    <definedName name="wrn1.june" localSheetId="2" hidden="1">{"det (May)",#N/A,FALSE,"June";"sum (MAY YTD)",#N/A,FALSE,"June YTD"}</definedName>
    <definedName name="wrn1.june">#REF!</definedName>
    <definedName name="wrn1.test." localSheetId="2" hidden="1">{"Valuation_Common",#N/A,FALSE,"Valuation"}</definedName>
    <definedName name="wrn1.test." hidden="1">{"Valuation_Common",#N/A,FALSE,"Valuation"}</definedName>
    <definedName name="wrn2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>#REF!</definedName>
    <definedName name="wrn2.june" localSheetId="2" hidden="1">{"det (May)",#N/A,FALSE,"June";"sum (MAY YTD)",#N/A,FALSE,"June YTD"}</definedName>
    <definedName name="wrn2.june">#REF!</definedName>
    <definedName name="wrnf.l.." localSheetId="2" hidden="1">{#N/A,#N/A,FALSE,"Summary";#N/A,#N/A,FALSE,"CF";#N/A,#N/A,FALSE,"P&amp;L";#N/A,#N/A,FALSE,"BS";#N/A,#N/A,FALSE,"Returns";#N/A,#N/A,FALSE,"Assumptions";#N/A,#N/A,FALSE,"Analysis"}</definedName>
    <definedName name="wrnf.l.." hidden="1">{#N/A,#N/A,FALSE,"Summary";#N/A,#N/A,FALSE,"CF";#N/A,#N/A,FALSE,"P&amp;L";#N/A,#N/A,FALSE,"BS";#N/A,#N/A,FALSE,"Returns";#N/A,#N/A,FALSE,"Assumptions";#N/A,#N/A,FALSE,"Analysis"}</definedName>
    <definedName name="ws" localSheetId="2" hidden="1">{#N/A,#N/A,FALSE,"Aging Summary";#N/A,#N/A,FALSE,"Ratio Analysis";#N/A,#N/A,FALSE,"Test 120 Day Accts";#N/A,#N/A,FALSE,"Tickmarks"}</definedName>
    <definedName name="ws" hidden="1">{#N/A,#N/A,FALSE,"Aging Summary";#N/A,#N/A,FALSE,"Ratio Analysis";#N/A,#N/A,FALSE,"Test 120 Day Accts";#N/A,#N/A,FALSE,"Tickmarks"}</definedName>
    <definedName name="wtre" localSheetId="2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vu.daily._.update._.global._.sheet." localSheetId="2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" localSheetId="2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localSheetId="2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" localSheetId="2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#REF!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#REF!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#REF!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#REF!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#REF!</definedName>
    <definedName name="wvu.Для._.И.М..">{TRUE,TRUE,-2,-15.8,483.6,261,FALSE,TRUE,TRUE,TRUE,0,1,#N/A,2,#N/A,30.9152542372881,5.08695652173913,1,FALSE,FALSE,3,TRUE,1,FALSE,100,"Swvu.Для._.И.М..","ACwvu.Для._.И.М..",#N/A,FALSE,FALSE,0.196850393700787,0.196850393700787,0.47244094488189,0.47244094488189,2,"&amp;CКредитный портфель по состоянию на 01.06.99г.","Страница &amp;P из &amp;N",TRUE,FALSE,FALSE,FALSE,1,67,#N/A,#N/A,FALSE,"=C21,R1:R3","Rwvu.Для._.И.М..",#N/A,FALSE,FALSE,TRUE,9,300,300,FALSE,FALSE,TRUE,TRUE,TRUE}</definedName>
    <definedName name="wvu.Ревизорам.">{TRUE,TRUE,-2,-15.8,483.6,261,FALSE,TRUE,TRUE,TRUE,0,1,#N/A,1,#N/A,29.8133333333333,5.58139534883721,1,FALSE,FALSE,3,TRUE,1,FALSE,100,"Swvu.Ревизорам.","ACwvu.Ревизорам.",#N/A,FALSE,FALSE,0.196850393700787,0.196850393700787,0.47244094488189,0.47244094488189,2,"&amp;CКредитный портфель по состоянию на 01.06.99г.","Страница &amp;P из &amp;N",TRUE,FALSE,FALSE,FALSE,1,#N/A,1,30,FALSE,"=C21,R1:R3","Rwvu.Ревизорам.",#N/A,FALSE,FALSE,FALSE,9,300,300,FALSE,FALSE,TRUE,TRUE,TRUE}</definedName>
    <definedName name="ww" localSheetId="2">#REF!</definedName>
    <definedName name="ww" hidden="1">{#N/A,#N/A,FALSE,"Aging Summary";#N/A,#N/A,FALSE,"Ratio Analysis";#N/A,#N/A,FALSE,"Test 120 Day Accts";#N/A,#N/A,FALSE,"Tickmarks"}</definedName>
    <definedName name="www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ww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wwww" localSheetId="2" hidden="1">{"'Sheet1'!$A$1:$X$25"}</definedName>
    <definedName name="wwww" hidden="1">{"'Sheet1'!$A$1:$X$25"}</definedName>
    <definedName name="wwwwww" localSheetId="2" hidden="1">{"INCPRE2000",#N/A,FALSE,"BL2000"}</definedName>
    <definedName name="wwwwww" hidden="1">{"INCPRE2000",#N/A,FALSE,"BL2000"}</definedName>
    <definedName name="wwwwwww" localSheetId="2" hidden="1">{"HS_USA",#N/A,FALSE,"Base"}</definedName>
    <definedName name="wwwwwww" hidden="1">{"HS_USA",#N/A,FALSE,"Base"}</definedName>
    <definedName name="wwwwwwwww" localSheetId="2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2" hidden="1">{"PL2000",#N/A,FALSE,"BL2000"}</definedName>
    <definedName name="wwwwwwwwww" hidden="1">{"PL2000",#N/A,FALSE,"BL2000"}</definedName>
    <definedName name="x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x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xc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xc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xcb" localSheetId="2" hidden="1">{0,0,0,0;0,0,0,0;0,0,0,0}</definedName>
    <definedName name="xcb" hidden="1">{0,0,0,0;0,0,0,0;0,0,0,0}</definedName>
    <definedName name="xcv" localSheetId="2" hidden="1">{#N/A,#N/A,FALSE,"Год 99."}</definedName>
    <definedName name="xcv" hidden="1">{#N/A,#N/A,FALSE,"Год 99."}</definedName>
    <definedName name="xcz">{#N/A,#N/A,FALSE,"Лист15"}</definedName>
    <definedName name="xdf" localSheetId="2" hidden="1">{0,0}</definedName>
    <definedName name="xdf" hidden="1">{0,0}</definedName>
    <definedName name="XLR_ERRNAMESTR" hidden="1">#NAME?</definedName>
    <definedName name="XLR_VERSION" hidden="1">#REF!</definedName>
    <definedName name="XLRPARAMS_BALANCE" localSheetId="2" hidden="1">#REF!</definedName>
    <definedName name="XLRPARAMS_BALANCE" hidden="1">#REF!</definedName>
    <definedName name="XLRPARAMS_BatchType" localSheetId="2" hidden="1">#REF!</definedName>
    <definedName name="XLRPARAMS_BatchType" hidden="1">#REF!</definedName>
    <definedName name="XLRPARAMS_Caption" hidden="1">#NAME?</definedName>
    <definedName name="XLRPARAMS_Data" hidden="1">#NAME?</definedName>
    <definedName name="XLRPARAMS_FinishDate" hidden="1">#NAME?</definedName>
    <definedName name="XLRPARAMS_FirmName" hidden="1">#NAME?</definedName>
    <definedName name="XLRPARAMS_flt" hidden="1">#NAME?</definedName>
    <definedName name="XLRPARAMS_PAR" localSheetId="2" hidden="1">#REF!</definedName>
    <definedName name="XLRPARAMS_PAR" hidden="1">#REF!</definedName>
    <definedName name="XLRPARAMS_Predl" hidden="1">#NAME?</definedName>
    <definedName name="XLRPARAMS_ProcData" hidden="1">#NAME?</definedName>
    <definedName name="XLRPARAMS_StartDate" hidden="1">#NAME?</definedName>
    <definedName name="XLRPARAMS_StructsName" hidden="1">#NAME?</definedName>
    <definedName name="XLRPARAMS_Поле138" hidden="1">#NAME?</definedName>
    <definedName name="XLRPARAMS_Поле148" hidden="1">#NAME?</definedName>
    <definedName name="XLRPARAMS_Поле150" hidden="1">#NAME?</definedName>
    <definedName name="XLRPARAMS_Поле152" hidden="1">#NAME?</definedName>
    <definedName name="XLRPARAMS_Поле170" hidden="1">#NAME?</definedName>
    <definedName name="XLRPARAMS_Поле265" hidden="1">#NAME?</definedName>
    <definedName name="xpr" localSheetId="2" hidden="1">{"Area1",#N/A,FALSE,"OREWACC";"Area2",#N/A,FALSE,"OREWACC"}</definedName>
    <definedName name="xpr" hidden="1">{"Area1",#N/A,FALSE,"OREWACC";"Area2",#N/A,FALSE,"OREWACC"}</definedName>
    <definedName name="XREF_COLUMN_1" hidden="1">#NAME?</definedName>
    <definedName name="XREF_COLUMN_2" hidden="1">#REF!</definedName>
    <definedName name="XREF_COLUMN_5" hidden="1">#REF!</definedName>
    <definedName name="XRefActiveRow" hidden="1">#REF!</definedName>
    <definedName name="XRefColumnsCount" hidden="1">1</definedName>
    <definedName name="XRefCopy1" hidden="1">#NAME?</definedName>
    <definedName name="XRefCopy1Row" hidden="1">#REF!</definedName>
    <definedName name="XRefCopy2" hidden="1">#REF!</definedName>
    <definedName name="XRefCopy2Row" hidden="1">#REF!</definedName>
    <definedName name="XRefCopy8" hidden="1">#REF!</definedName>
    <definedName name="XRefCopy9" hidden="1">#REF!</definedName>
    <definedName name="XRefCopyRangeCount" hidden="1">1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1</definedName>
    <definedName name="xsds" localSheetId="2" hidden="1">{"Summary",#N/A,FALSE,"Valuation Summary";"Financial Statements",#N/A,FALSE,"Results";"FCF",#N/A,FALSE,"Results"}</definedName>
    <definedName name="xsds" hidden="1">{"Summary",#N/A,FALSE,"Valuation Summary";"Financial Statements",#N/A,FALSE,"Results";"FCF",#N/A,FALSE,"Results"}</definedName>
    <definedName name="XVCVZX" localSheetId="2" hidden="1">{#N/A,#N/A,FALSE,"Summary";#N/A,#N/A,FALSE,"CF";#N/A,#N/A,FALSE,"P&amp;L";#N/A,#N/A,FALSE,"BS";#N/A,#N/A,FALSE,"Returns";#N/A,#N/A,FALSE,"Assumptions";#N/A,#N/A,FALSE,"Analysis"}</definedName>
    <definedName name="XVCVZX" hidden="1">{#N/A,#N/A,FALSE,"Summary";#N/A,#N/A,FALSE,"CF";#N/A,#N/A,FALSE,"P&amp;L";#N/A,#N/A,FALSE,"BS";#N/A,#N/A,FALSE,"Returns";#N/A,#N/A,FALSE,"Assumptions";#N/A,#N/A,FALSE,"Analysis"}</definedName>
    <definedName name="xx">{"'CVB-Zinssatz Akt'!$A$2:$M$10","'CVB Ist'!$C$35:$O$37"}</definedName>
    <definedName name="xxx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x" localSheetId="2" hidden="1">{"det (May)",#N/A,FALSE,"June";"sum (MAY YTD)",#N/A,FALSE,"June YTD"}</definedName>
    <definedName name="xxxx">#REF!</definedName>
    <definedName name="xxxxx">{"'CVB-Zinssatz Akt'!$A$2:$M$10","'CVB Ist'!$C$35:$O$37"}</definedName>
    <definedName name="xxxxxxxxxxxxxx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xxxxxxxxxxxxxx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xxxyyy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y">{"'CVB-Zinssatz Akt'!$A$2:$M$10","'CVB Ist'!$C$35:$O$37"}</definedName>
    <definedName name="xyz" localSheetId="2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yz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y">{"'CVB-Zinssatz Akt'!$A$2:$M$10","'CVB Ist'!$C$35:$O$37"}</definedName>
    <definedName name="yarosl" localSheetId="2">#REF!</definedName>
    <definedName name="yarosl">#REF!</definedName>
    <definedName name="yas" localSheetId="2" hidden="1">#REF!</definedName>
    <definedName name="yas" hidden="1">#REF!</definedName>
    <definedName name="yasin" localSheetId="2" hidden="1">#REF!</definedName>
    <definedName name="yasin" hidden="1">#REF!</definedName>
    <definedName name="Year" localSheetId="2">#REF!</definedName>
    <definedName name="year">#REF!</definedName>
    <definedName name="ygcf" localSheetId="2" hidden="1">{0,0}</definedName>
    <definedName name="ygcf" hidden="1">{0,0}</definedName>
    <definedName name="yjdjt" hidden="1">#REF!</definedName>
    <definedName name="yo" localSheetId="2">#REF!</definedName>
    <definedName name="yo">#REF!</definedName>
    <definedName name="yt" localSheetId="2" hidden="1">{#N/A,#N/A,TRUE,"Буржуям"}</definedName>
    <definedName name="yt" hidden="1">{#N/A,#N/A,TRUE,"Буржуям"}</definedName>
    <definedName name="yue" localSheetId="2" hidden="1">{#N/A,#N/A,FALSE,"magsep2";#N/A,#N/A,FALSE,"¾"" X ½""";#N/A,#N/A,FALSE,"½"" X ¼""";#N/A,#N/A,FALSE,"¼"" X 8 Mesh";#N/A,#N/A,FALSE,"8 X 14 Mesh"}</definedName>
    <definedName name="yue" hidden="1">{#N/A,#N/A,FALSE,"magsep2";#N/A,#N/A,FALSE,"¾"" X ½""";#N/A,#N/A,FALSE,"½"" X ¼""";#N/A,#N/A,FALSE,"¼"" X 8 Mesh";#N/A,#N/A,FALSE,"8 X 14 Mesh"}</definedName>
    <definedName name="yyss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yyss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z">#REF!</definedName>
    <definedName name="Z_005DF951_7A56_47DA_83CC_2D501C5F21E0_.wvu.FilterData" localSheetId="2" hidden="1">#REF!</definedName>
    <definedName name="Z_005DF951_7A56_47DA_83CC_2D501C5F21E0_.wvu.FilterData" hidden="1">#REF!</definedName>
    <definedName name="Z_00DA0F39_99EB_43AD_B863_E8EA641B4565_.wvu.FilterData" localSheetId="2" hidden="1">#REF!</definedName>
    <definedName name="Z_00DA0F39_99EB_43AD_B863_E8EA641B4565_.wvu.FilterData" hidden="1">#REF!</definedName>
    <definedName name="Z_02F71800_36F2_4870_8F34_60F59F935FE8_.wvu.FilterData" localSheetId="2" hidden="1">#REF!</definedName>
    <definedName name="Z_02F71800_36F2_4870_8F34_60F59F935FE8_.wvu.FilterData" hidden="1">#REF!</definedName>
    <definedName name="Z_0595F033_10C1_11D1_BBF1_0020AF29375F_.wvu.Cols" hidden="1">#NAME?</definedName>
    <definedName name="Z_0595F034_10C1_11D1_BBF1_0020AF29375F_.wvu.Cols" hidden="1">#NAME?</definedName>
    <definedName name="Z_0595F036_10C1_11D1_BBF1_0020AF29375F_.wvu.Cols" hidden="1">#NAME?</definedName>
    <definedName name="Z_0595F037_10C1_11D1_BBF1_0020AF29375F_.wvu.Cols" hidden="1">#NAME?</definedName>
    <definedName name="Z_0595F038_10C1_11D1_BBF1_0020AF29375F_.wvu.Cols" hidden="1">#NAME?</definedName>
    <definedName name="Z_0595F03A_10C1_11D1_BBF1_0020AF29375F_.wvu.Cols" hidden="1">#REF!</definedName>
    <definedName name="Z_0595F03B_10C1_11D1_BBF1_0020AF29375F_.wvu.Cols" hidden="1">#NAME?</definedName>
    <definedName name="Z_0595F03C_10C1_11D1_BBF1_0020AF29375F_.wvu.Cols" hidden="1">#REF!</definedName>
    <definedName name="Z_0595F03D_10C1_11D1_BBF1_0020AF29375F_.wvu.Cols" hidden="1">#REF!</definedName>
    <definedName name="Z_0595F03F_10C1_11D1_BBF1_0020AF29375F_.wvu.Cols" hidden="1">#REF!</definedName>
    <definedName name="Z_0595F040_10C1_11D1_BBF1_0020AF29375F_.wvu.Cols" hidden="1">#NAME?</definedName>
    <definedName name="Z_0595F041_10C1_11D1_BBF1_0020AF29375F_.wvu.Cols" hidden="1">#REF!</definedName>
    <definedName name="Z_0595F042_10C1_11D1_BBF1_0020AF29375F_.wvu.Cols" hidden="1">#NAME?</definedName>
    <definedName name="Z_0595F043_10C1_11D1_BBF1_0020AF29375F_.wvu.Cols" hidden="1">#NAME?</definedName>
    <definedName name="Z_0595F044_10C1_11D1_BBF1_0020AF29375F_.wvu.Cols" hidden="1">#NAME?</definedName>
    <definedName name="Z_0595F045_10C1_11D1_BBF1_0020AF29375F_.wvu.Cols" hidden="1">#NAME?</definedName>
    <definedName name="Z_0595F046_10C1_11D1_BBF1_0020AF29375F_.wvu.Cols" hidden="1">#NAME?</definedName>
    <definedName name="Z_0595F047_10C1_11D1_BBF1_0020AF29375F_.wvu.Cols" hidden="1">#NAME?</definedName>
    <definedName name="Z_0595F048_10C1_11D1_BBF1_0020AF29375F_.wvu.Cols" hidden="1">#NAME?</definedName>
    <definedName name="Z_0595F049_10C1_11D1_BBF1_0020AF29375F_.wvu.Cols" hidden="1">#NAME?</definedName>
    <definedName name="Z_0595F04B_10C1_11D1_BBF1_0020AF29375F_.wvu.Cols" hidden="1">#NAME?</definedName>
    <definedName name="Z_0595F04C_10C1_11D1_BBF1_0020AF29375F_.wvu.Cols" hidden="1">#NAME?</definedName>
    <definedName name="Z_0595F04E_10C1_11D1_BBF1_0020AF29375F_.wvu.Cols" hidden="1">#NAME?</definedName>
    <definedName name="Z_0595F04F_10C1_11D1_BBF1_0020AF29375F_.wvu.Cols" hidden="1">#NAME?</definedName>
    <definedName name="Z_0595F050_10C1_11D1_BBF1_0020AF29375F_.wvu.Cols" hidden="1">#NAME?</definedName>
    <definedName name="Z_0595F051_10C1_11D1_BBF1_0020AF29375F_.wvu.Cols" hidden="1">#NAME?</definedName>
    <definedName name="Z_0595F052_10C1_11D1_BBF1_0020AF29375F_.wvu.Cols" hidden="1">#REF!</definedName>
    <definedName name="Z_0595F053_10C1_11D1_BBF1_0020AF29375F_.wvu.Cols" hidden="1">#NAME?</definedName>
    <definedName name="Z_0595F054_10C1_11D1_BBF1_0020AF29375F_.wvu.Cols" hidden="1">#REF!</definedName>
    <definedName name="Z_0595F055_10C1_11D1_BBF1_0020AF29375F_.wvu.Cols" hidden="1">#REF!</definedName>
    <definedName name="Z_0595F056_10C1_11D1_BBF1_0020AF29375F_.wvu.Cols" hidden="1">#NAME?</definedName>
    <definedName name="Z_0595F057_10C1_11D1_BBF1_0020AF29375F_.wvu.Cols" hidden="1">#REF!</definedName>
    <definedName name="Z_0595F058_10C1_11D1_BBF1_0020AF29375F_.wvu.Cols" hidden="1">#NAME?</definedName>
    <definedName name="Z_0595F059_10C1_11D1_BBF1_0020AF29375F_.wvu.Cols" hidden="1">#REF!</definedName>
    <definedName name="Z_0595F05A_10C1_11D1_BBF1_0020AF29375F_.wvu.Cols" hidden="1">#NAME?</definedName>
    <definedName name="Z_0595F05B_10C1_11D1_BBF1_0020AF29375F_.wvu.Cols" hidden="1">#NAME?</definedName>
    <definedName name="Z_0595F05C_10C1_11D1_BBF1_0020AF29375F_.wvu.Cols" hidden="1">#NAME?</definedName>
    <definedName name="Z_0595F05D_10C1_11D1_BBF1_0020AF29375F_.wvu.Cols" hidden="1">#NAME?</definedName>
    <definedName name="Z_0595F05E_10C1_11D1_BBF1_0020AF29375F_.wvu.Cols" hidden="1">#NAME?</definedName>
    <definedName name="Z_0595F05F_10C1_11D1_BBF1_0020AF29375F_.wvu.Cols" hidden="1">#NAME?</definedName>
    <definedName name="Z_0595F060_10C1_11D1_BBF1_0020AF29375F_.wvu.Cols" hidden="1">#NAME?</definedName>
    <definedName name="Z_0595F061_10C1_11D1_BBF1_0020AF29375F_.wvu.Cols" hidden="1">#NAME?</definedName>
    <definedName name="Z_08AF92E3_0428_4057_A8BD_2E2FCCCF824A_.wvu.FilterData" hidden="1">#REF!</definedName>
    <definedName name="Z_09A675D7_23C2_4A02_B4C1_56B02CE79286_.wvu.PrintArea" hidden="1">#REF!</definedName>
    <definedName name="Z_09EEB298_AFAE_4889_B314_E31E691C9AD9_.wvu.FilterData" hidden="1">#REF!</definedName>
    <definedName name="Z_0B4A755C_B552_4D21_B012_D735ADAF1700_.wvu.FilterData" hidden="1">#REF!</definedName>
    <definedName name="Z_0C0855DC_CFCF_4A97_A988_7DD04E1CD2D6_.wvu.FilterData" hidden="1">#REF!</definedName>
    <definedName name="Z_0D055146_F02C_4458_B31A_9A91C3AD5165_.wvu.FilterData" hidden="1">#REF!</definedName>
    <definedName name="Z_0DD4EB58_0647_11D5_A6F7_00508B654A95_.wvu.Cols" hidden="1">#REF!</definedName>
    <definedName name="Z_10435A81_C305_11D5_A6F8_009027BEE0E0_.wvu.Cols" hidden="1">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</definedName>
    <definedName name="Z_10ECC363_1620_4E08_96C7_0E8B65EEA5BB_.wvu.FilterData" hidden="1">#REF!</definedName>
    <definedName name="Z_1293C8C9_31AA_44B0_A196_A7064C8D73FA_.wvu.FilterData" hidden="1">#REF!</definedName>
    <definedName name="Z_12F56F16_2F55_4CD3_B33D_C0766F25509A_.wvu.PrintTitles" hidden="1">#REF!</definedName>
    <definedName name="Z_12F56F16_2F55_4CD3_B33D_C0766F25509A_.wvu.Rows" hidden="1">#NAME?</definedName>
    <definedName name="Z_1438F4E7_3A6E_41A0_8166_F48204710BA3_.wvu.FilterData" hidden="1">#REF!</definedName>
    <definedName name="Z_153CCB16_833B_4ECF_BA69_88B002530AA4_.wvu.FilterData" hidden="1">#REF!</definedName>
    <definedName name="Z_1798C8BD_0941_11D4_9117_00A024280731_.wvu.PrintTitles">#REF!,#REF!</definedName>
    <definedName name="Z_1798C8BE_0941_11D4_9117_00A024280731_.wvu.PrintTitles">#REF!,#REF!</definedName>
    <definedName name="Z_195152ED_E1B3_11D0_BBF1_0020AF29375F_.wvu.Cols" hidden="1">#NAME?</definedName>
    <definedName name="Z_195152EE_E1B3_11D0_BBF1_0020AF29375F_.wvu.Cols" hidden="1">#NAME?</definedName>
    <definedName name="Z_195152F0_E1B3_11D0_BBF1_0020AF29375F_.wvu.Cols" hidden="1">#NAME?</definedName>
    <definedName name="Z_195152F1_E1B3_11D0_BBF1_0020AF29375F_.wvu.Cols" hidden="1">#NAME?</definedName>
    <definedName name="Z_195152F2_E1B3_11D0_BBF1_0020AF29375F_.wvu.Cols" hidden="1">#NAME?</definedName>
    <definedName name="Z_195152F4_E1B3_11D0_BBF1_0020AF29375F_.wvu.Cols" localSheetId="2" hidden="1">#REF!</definedName>
    <definedName name="Z_195152F4_E1B3_11D0_BBF1_0020AF29375F_.wvu.Cols" hidden="1">#REF!</definedName>
    <definedName name="Z_195152F5_E1B3_11D0_BBF1_0020AF29375F_.wvu.Cols" hidden="1">#NAME?</definedName>
    <definedName name="Z_195152F6_E1B3_11D0_BBF1_0020AF29375F_.wvu.Cols" localSheetId="2" hidden="1">#REF!</definedName>
    <definedName name="Z_195152F6_E1B3_11D0_BBF1_0020AF29375F_.wvu.Cols" hidden="1">#REF!</definedName>
    <definedName name="Z_195152F7_E1B3_11D0_BBF1_0020AF29375F_.wvu.Cols" hidden="1">#REF!</definedName>
    <definedName name="Z_195152F9_E1B3_11D0_BBF1_0020AF29375F_.wvu.Cols" hidden="1">#REF!</definedName>
    <definedName name="Z_195152FA_E1B3_11D0_BBF1_0020AF29375F_.wvu.Cols" hidden="1">#NAME?</definedName>
    <definedName name="Z_195152FB_E1B3_11D0_BBF1_0020AF29375F_.wvu.Cols" hidden="1">#REF!</definedName>
    <definedName name="Z_195152FC_E1B3_11D0_BBF1_0020AF29375F_.wvu.Cols" hidden="1">#NAME?</definedName>
    <definedName name="Z_195152FD_E1B3_11D0_BBF1_0020AF29375F_.wvu.Cols" hidden="1">#NAME?</definedName>
    <definedName name="Z_195152FE_E1B3_11D0_BBF1_0020AF29375F_.wvu.Cols" hidden="1">#NAME?</definedName>
    <definedName name="Z_195152FF_E1B3_11D0_BBF1_0020AF29375F_.wvu.Cols" hidden="1">#NAME?</definedName>
    <definedName name="Z_19515300_E1B3_11D0_BBF1_0020AF29375F_.wvu.Cols" hidden="1">#NAME?</definedName>
    <definedName name="Z_19515301_E1B3_11D0_BBF1_0020AF29375F_.wvu.Cols" hidden="1">#NAME?</definedName>
    <definedName name="Z_19515302_E1B3_11D0_BBF1_0020AF29375F_.wvu.Cols" hidden="1">#NAME?</definedName>
    <definedName name="Z_19515303_E1B3_11D0_BBF1_0020AF29375F_.wvu.Cols" hidden="1">#NAME?</definedName>
    <definedName name="Z_19515305_E1B3_11D0_BBF1_0020AF29375F_.wvu.Cols" hidden="1">#NAME?</definedName>
    <definedName name="Z_19515306_E1B3_11D0_BBF1_0020AF29375F_.wvu.Cols" hidden="1">#NAME?</definedName>
    <definedName name="Z_19515308_E1B3_11D0_BBF1_0020AF29375F_.wvu.Cols" hidden="1">#NAME?</definedName>
    <definedName name="Z_19515309_E1B3_11D0_BBF1_0020AF29375F_.wvu.Cols" hidden="1">#NAME?</definedName>
    <definedName name="Z_1951530A_E1B3_11D0_BBF1_0020AF29375F_.wvu.Cols" hidden="1">#NAME?</definedName>
    <definedName name="Z_1951530B_E1B3_11D0_BBF1_0020AF29375F_.wvu.Cols" hidden="1">#NAME?</definedName>
    <definedName name="Z_1951530C_E1B3_11D0_BBF1_0020AF29375F_.wvu.Cols" hidden="1">#REF!</definedName>
    <definedName name="Z_1951530D_E1B3_11D0_BBF1_0020AF29375F_.wvu.Cols" hidden="1">#NAME?</definedName>
    <definedName name="Z_1951530E_E1B3_11D0_BBF1_0020AF29375F_.wvu.Cols" hidden="1">#REF!</definedName>
    <definedName name="Z_1951530F_E1B3_11D0_BBF1_0020AF29375F_.wvu.Cols" hidden="1">#REF!</definedName>
    <definedName name="Z_19515310_E1B3_11D0_BBF1_0020AF29375F_.wvu.Cols" hidden="1">#NAME?</definedName>
    <definedName name="Z_19515311_E1B3_11D0_BBF1_0020AF29375F_.wvu.Cols" hidden="1">#REF!</definedName>
    <definedName name="Z_19515312_E1B3_11D0_BBF1_0020AF29375F_.wvu.Cols" hidden="1">#NAME?</definedName>
    <definedName name="Z_19515313_E1B3_11D0_BBF1_0020AF29375F_.wvu.Cols" hidden="1">#REF!</definedName>
    <definedName name="Z_19515314_E1B3_11D0_BBF1_0020AF29375F_.wvu.Cols" hidden="1">#NAME?</definedName>
    <definedName name="Z_19515315_E1B3_11D0_BBF1_0020AF29375F_.wvu.Cols" hidden="1">#NAME?</definedName>
    <definedName name="Z_19515316_E1B3_11D0_BBF1_0020AF29375F_.wvu.Cols" hidden="1">#NAME?</definedName>
    <definedName name="Z_19515317_E1B3_11D0_BBF1_0020AF29375F_.wvu.Cols" hidden="1">#NAME?</definedName>
    <definedName name="Z_19515318_E1B3_11D0_BBF1_0020AF29375F_.wvu.Cols" hidden="1">#NAME?</definedName>
    <definedName name="Z_19515319_E1B3_11D0_BBF1_0020AF29375F_.wvu.Cols" hidden="1">#NAME?</definedName>
    <definedName name="Z_1951531A_E1B3_11D0_BBF1_0020AF29375F_.wvu.Cols" hidden="1">#NAME?</definedName>
    <definedName name="Z_1951531B_E1B3_11D0_BBF1_0020AF29375F_.wvu.Cols" hidden="1">#NAME?</definedName>
    <definedName name="Z_196445E0_7F1D_11D7_858E_00C026A77BFE_.wvu.FilterData" hidden="1">#REF!</definedName>
    <definedName name="Z_1AA09AD1_59A5_496C_B8E9_DC7AABE1E725_.wvu.FilterData" hidden="1">#REF!</definedName>
    <definedName name="Z_1BDF1A42_C47E_4481_BB4B_C02E742B4DDE_.wvu.FilterData" hidden="1">#REF!</definedName>
    <definedName name="Z_1C3AD0CD_BF0C_4C4E_9071_158A2F5215E2_.wvu.Rows" hidden="1">#REF!</definedName>
    <definedName name="Z_1EE25323_E5AA_40ED_8C4B_4298DBBE34F9_.wvu.FilterData" hidden="1">#REF!</definedName>
    <definedName name="Z_1FD8349E_788E_4284_A958_8AE6D822679F_.wvu.FilterData" hidden="1">#REF!</definedName>
    <definedName name="Z_2557EC32_2442_4093_B144_91CE782EDAC1_.wvu.FilterData" hidden="1">#REF!</definedName>
    <definedName name="Z_270BB401_5236_11D4_BB54_0050044E0CFA_.wvu.Cols" hidden="1">#REF!</definedName>
    <definedName name="Z_270BB401_5236_11D4_BB54_0050044E0CFA_.wvu.FilterData" hidden="1">#REF!</definedName>
    <definedName name="Z_270BB401_5236_11D4_BB54_0050044E0CFA_.wvu.PrintArea" hidden="1">#REF!</definedName>
    <definedName name="Z_270BB401_5236_11D4_BB54_0050044E0CFA_.wvu.PrintTitles" hidden="1">#REF!</definedName>
    <definedName name="Z_270BB401_5236_11D4_BB54_0050044E0CFA_.wvu.Rows" hidden="1">#REF!</definedName>
    <definedName name="Z_27FAE28F_748E_42DF_A26C_E4264EADBB66_.wvu.FilterData" hidden="1">#REF!</definedName>
    <definedName name="Z_2804E4BB_ED21_11D4_A6F8_00508B654B8B_.wvu.Cols" hidden="1">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</definedName>
    <definedName name="Z_281305A2_0B58_4807_84BA_25130D18B2C1_.wvu.Cols" hidden="1">#REF!</definedName>
    <definedName name="Z_281305A2_0B58_4807_84BA_25130D18B2C1_.wvu.FilterData" hidden="1">#REF!</definedName>
    <definedName name="Z_2BB3C4A3_BDDD_11D3_8A48_0020AF27A350_.wvu.Cols">#REF!,#REF!,#REF!,#REF!,#REF!,#REF!,#REF!,#REF!,#REF!,#REF!,#REF!,#REF!</definedName>
    <definedName name="Z_2BB3C4A3_BDDD_11D3_8A48_0020AF27A350_.wvu.PrintTitles">#REF!,#REF!</definedName>
    <definedName name="Z_2BB3C4A4_BDDD_11D3_8A48_0020AF27A350_.wvu.Cols">#REF!,#REF!,#REF!,#REF!,#REF!,#REF!,#REF!,#REF!,#REF!,#REF!,#REF!,#REF!,#REF!</definedName>
    <definedName name="Z_2BB3C4A4_BDDD_11D3_8A48_0020AF27A350_.wvu.PrintTitles">#REF!,#REF!</definedName>
    <definedName name="Z_2BF49A88_6F00_4AAA_BE59_5C631E8D8C30_.wvu.FilterData" localSheetId="2" hidden="1">#REF!</definedName>
    <definedName name="Z_2BF49A88_6F00_4AAA_BE59_5C631E8D8C30_.wvu.FilterData" hidden="1">#REF!</definedName>
    <definedName name="Z_2CC9EAF0_AAF6_11D4_B10F_0050042A63D7_.wvu.PrintTitles" localSheetId="2" hidden="1">#REF!</definedName>
    <definedName name="Z_2CC9EAF0_AAF6_11D4_B10F_0050042A63D7_.wvu.PrintTitles" hidden="1">#REF!</definedName>
    <definedName name="Z_2E54BF4C_F0E0_472C_938C_037DA134B3FB_.wvu.FilterData" localSheetId="2" hidden="1">#REF!</definedName>
    <definedName name="Z_2E54BF4C_F0E0_472C_938C_037DA134B3FB_.wvu.FilterData" hidden="1">#REF!</definedName>
    <definedName name="Z_2EC4F102_190F_4D02_BF3E_22B76D57D0EF_.wvu.FilterData" hidden="1">#REF!</definedName>
    <definedName name="Z_30FB7F20_3206_11D7_A755_00C12802433D_.wvu.PrintTitles" hidden="1">#REF!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329EC840_A187_11D3_9A0A_080009EBAE0C_.wvu.Cols">#REF!,#REF!,#REF!,#REF!,#REF!,#REF!,#REF!,#REF!,#REF!,#REF!,#REF!,#REF!,#REF!</definedName>
    <definedName name="Z_329EC840_A187_11D3_9A0A_080009EBAE0C_.wvu.PrintTitles">#REF!,#REF!</definedName>
    <definedName name="Z_35951CD6_FD71_40AC_8810_72C1CB364061_.wvu.FilterData" localSheetId="2" hidden="1">#REF!</definedName>
    <definedName name="Z_35951CD6_FD71_40AC_8810_72C1CB364061_.wvu.FilterData" hidden="1">#REF!</definedName>
    <definedName name="Z_378A479D_C428_4A1C_B8ED_56465C87433D_.wvu.FilterData" localSheetId="2" hidden="1">#REF!</definedName>
    <definedName name="Z_378A479D_C428_4A1C_B8ED_56465C87433D_.wvu.FilterData" hidden="1">#REF!</definedName>
    <definedName name="Z_37A59B27_C76D_4E84_8164_B3D5C7AFADBB_.wvu.Cols" localSheetId="2" hidden="1">#REF!</definedName>
    <definedName name="Z_37A59B27_C76D_4E84_8164_B3D5C7AFADBB_.wvu.Cols" hidden="1">#REF!</definedName>
    <definedName name="Z_37E31EC0_EEB1_407A_8225_B6855749803F_.wvu.FilterData" hidden="1">#REF!</definedName>
    <definedName name="Z_3875218B_A0A4_11D7_8A8B_00E04C3932F1_.wvu.Cols" hidden="1">#REF!</definedName>
    <definedName name="Z_3875218B_A0A4_11D7_8A8B_00E04C3932F1_.wvu.PrintArea" hidden="1">#REF!</definedName>
    <definedName name="Z_38F26364_FD4C_45E6_928F_7A5B8928E283_.wvu.FilterData" hidden="1">#REF!</definedName>
    <definedName name="Z_3A701F20_2EAF_11D7_858E_00C026A77BFE_.wvu.FilterData" hidden="1">#REF!</definedName>
    <definedName name="Z_3B80E742_5394_4D91_9870_51597ED90771_.wvu.FilterData" hidden="1">#REF!</definedName>
    <definedName name="Z_3C66C126_062E_48A9_8837_2C43E53F4EE3_.wvu.FilterData" hidden="1">#REF!</definedName>
    <definedName name="Z_3D19857B_30E7_4671_8FF5_9ED7DBD2E576_.wvu.FilterData" hidden="1">#REF!</definedName>
    <definedName name="Z_3EDA064A_7802_48DA_A6C7_FC06ED792066_.wvu.FilterData" hidden="1">#REF!</definedName>
    <definedName name="Z_3F1E9FC8_4F94_4822_9BA0_771865BCC25E_.wvu.FilterData" hidden="1">#REF!</definedName>
    <definedName name="Z_405A7DB2_0022_4FB6_AA75_6E07F425890E_.wvu.FilterData" hidden="1">#REF!</definedName>
    <definedName name="Z_40E883C2_80F1_4BBE_93EA_00FC988717B6_.wvu.FilterData" hidden="1">#REF!</definedName>
    <definedName name="Z_43880E8E_7B25_4978_A428_63F81960818F_.wvu.FilterData" hidden="1">#REF!</definedName>
    <definedName name="Z_441145D4_016E_11D4_8468_00A024EB33FF_.wvu.PrintTitles">#REF!,#REF!</definedName>
    <definedName name="Z_441145D5_016E_11D4_8468_00A024EB33FF_.wvu.PrintTitles">#REF!,#REF!</definedName>
    <definedName name="Z_441145DC_016E_11D4_8468_00A024EB33FF_.wvu.PrintTitles">#REF!,#REF!</definedName>
    <definedName name="Z_441145DD_016E_11D4_8468_00A024EB33FF_.wvu.PrintTitles">#REF!,#REF!</definedName>
    <definedName name="Z_441145E4_016E_11D4_8468_00A024EB33FF_.wvu.PrintTitles">#REF!,#REF!</definedName>
    <definedName name="Z_441145E5_016E_11D4_8468_00A024EB33FF_.wvu.PrintTitles">#REF!,#REF!</definedName>
    <definedName name="Z_441145E8_016E_11D4_8468_00A024EB33FF_.wvu.Cols">#REF!,#REF!,#REF!,#REF!,#REF!,#REF!,#REF!,#REF!,#REF!,#REF!,#REF!,#REF!</definedName>
    <definedName name="Z_441145E8_016E_11D4_8468_00A024EB33FF_.wvu.FilterData">#REF!</definedName>
    <definedName name="Z_441145E8_016E_11D4_8468_00A024EB33FF_.wvu.PrintArea">#REF!</definedName>
    <definedName name="Z_441145E8_016E_11D4_8468_00A024EB33FF_.wvu.PrintTitles">#REF!,#REF!</definedName>
    <definedName name="Z_45E86200_2EB3_11D7_858E_00C026A77BFE_.wvu.FilterData" localSheetId="2" hidden="1">#REF!</definedName>
    <definedName name="Z_45E86200_2EB3_11D7_858E_00C026A77BFE_.wvu.FilterData" hidden="1">#REF!</definedName>
    <definedName name="Z_45E86203_2EB3_11D7_858E_00C026A77BFE_.wvu.FilterData" localSheetId="2" hidden="1">#REF!</definedName>
    <definedName name="Z_45E86203_2EB3_11D7_858E_00C026A77BFE_.wvu.FilterData" hidden="1">#REF!</definedName>
    <definedName name="Z_47F43EE9_8C3A_11D7_858E_00C026A77BFE_.wvu.FilterData" localSheetId="2" hidden="1">#REF!</definedName>
    <definedName name="Z_47F43EE9_8C3A_11D7_858E_00C026A77BFE_.wvu.FilterData" hidden="1">#REF!</definedName>
    <definedName name="Z_47FCA7C9_0E25_454F_9114_39E0B4A5AB40_.wvu.FilterData" hidden="1">#REF!</definedName>
    <definedName name="Z_494B38C1_27BA_413B_B2F1_F239A21D295A_.wvu.FilterData" hidden="1">#REF!</definedName>
    <definedName name="Z_4AD0A3CB_071B_4BE0_B4E0_28065875B834_.wvu.FilterData" hidden="1">#REF!</definedName>
    <definedName name="Z_4C487ED1_AD6B_11D4_8367_0050042B3EC8_.wvu.PrintTitles" hidden="1">#REF!</definedName>
    <definedName name="Z_4C487ED1_AD6B_11D4_8367_0050042B3EC8_.wvu.Rows" hidden="1">#REF!</definedName>
    <definedName name="Z_4C956BBC_8109_4A66_87B1_43D2D2472E38_.wvu.FilterData" hidden="1">#REF!</definedName>
    <definedName name="Z_4FF2EAAA_2C73_11D7_858E_00C026A77BFE_.wvu.FilterData" hidden="1">#REF!</definedName>
    <definedName name="Z_52A68AE6_F3A4_45FC_AD55_DD8AAD2E2102_.wvu.FilterData" hidden="1">#REF!</definedName>
    <definedName name="Z_5336096B_8FA8_456F_A363_FE981E37A8C4_.wvu.Cols" hidden="1">#REF!</definedName>
    <definedName name="Z_5336096B_8FA8_456F_A363_FE981E37A8C4_.wvu.FilterData" hidden="1">#REF!</definedName>
    <definedName name="Z_5336096B_8FA8_456F_A363_FE981E37A8C4_.wvu.PrintArea" hidden="1">#REF!</definedName>
    <definedName name="Z_5336096B_8FA8_456F_A363_FE981E37A8C4_.wvu.Rows" hidden="1">#REF!</definedName>
    <definedName name="Z_573BFCAC_6504_11D3_9A0A_080009EBAE0C_.wvu.Cols">#REF!,#REF!,#REF!,#REF!,#REF!,#REF!,#REF!,#REF!,#REF!,#REF!,#REF!,#REF!,#REF!</definedName>
    <definedName name="Z_573BFCAC_6504_11D3_9A0A_080009EBAE0C_.wvu.PrintTitles">#REF!,#REF!</definedName>
    <definedName name="Z_573BFCB6_6504_11D3_9A0A_080009EBAE0C_.wvu.Cols">#REF!,#REF!,#REF!,#REF!,#REF!,#REF!,#REF!,#REF!</definedName>
    <definedName name="Z_573BFCB6_6504_11D3_9A0A_080009EBAE0C_.wvu.PrintTitles">#REF!,#REF!</definedName>
    <definedName name="Z_573BFCB7_6504_11D3_9A0A_080009EBAE0C_.wvu.Cols">#REF!,#REF!,#REF!,#REF!,#REF!</definedName>
    <definedName name="Z_573BFCB7_6504_11D3_9A0A_080009EBAE0C_.wvu.PrintTitles">#REF!,#REF!</definedName>
    <definedName name="Z_576888F0_D748_4BBF_AF61_B682BB3ADF3F_.wvu.FilterData" localSheetId="2" hidden="1">#REF!</definedName>
    <definedName name="Z_576888F0_D748_4BBF_AF61_B682BB3ADF3F_.wvu.FilterData" hidden="1">#REF!</definedName>
    <definedName name="Z_5779632D_8521_40F3_A8F8_FB789099DD13_.wvu.FilterData" localSheetId="2" hidden="1">#REF!</definedName>
    <definedName name="Z_5779632D_8521_40F3_A8F8_FB789099DD13_.wvu.FilterData" hidden="1">#REF!</definedName>
    <definedName name="Z_5A40A71A_8DCB_44F1_AC9A_EECCC9ED695A_.wvu.FilterData" localSheetId="2" hidden="1">#REF!</definedName>
    <definedName name="Z_5A40A71A_8DCB_44F1_AC9A_EECCC9ED695A_.wvu.FilterData" hidden="1">#REF!</definedName>
    <definedName name="Z_5A868EA0_ED63_11D4_A6F8_009027BEE0E0_.wvu.Cols" hidden="1">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</definedName>
    <definedName name="Z_5AF7DE2F_DC1C_4BC6_B46B_9E763E65A3D8_.wvu.FilterData" hidden="1">#REF!</definedName>
    <definedName name="Z_5BEEB401_9B72_11D4_8354_0050042B3EC8_.wvu.Cols" hidden="1">#REF!</definedName>
    <definedName name="Z_5BEEB401_9B72_11D4_8354_0050042B3EC8_.wvu.PrintArea" hidden="1">#REF!</definedName>
    <definedName name="Z_5DA89F8A_C258_4EB6_9B49_4DF785D669FC_.wvu.FilterData" hidden="1">#REF!</definedName>
    <definedName name="Z_5EB1ED0A_5D2C_4B83_BFA0_A9E13F1560F6_.wvu.FilterData" hidden="1">#REF!</definedName>
    <definedName name="Z_60367A7E_DA44_4A14_98E1_7601FB45084C_.wvu.FilterData" hidden="1">#REF!</definedName>
    <definedName name="Z_606F25CE_494B_457E_BD65_681C9B91C600_.wvu.FilterData" hidden="1">#REF!</definedName>
    <definedName name="Z_6072D55F_AAF2_4423_82FE_FA9BD07D3C88_.wvu.FilterData" hidden="1">#REF!</definedName>
    <definedName name="Z_608D6120_2DF3_11D7_858E_00C026A77BFE_.wvu.FilterData" hidden="1">#REF!</definedName>
    <definedName name="Z_60A87ADB_7ACE_4CD1_B3A8_13A12316836F_.wvu.FilterData" hidden="1">#REF!</definedName>
    <definedName name="Z_61040ED0_7AD6_11D2_B35C_02608CAC8430_.wvu.PrintTitles" hidden="1">#REF!</definedName>
    <definedName name="Z_6134A263_AA9B_4777_85C5_37B5A16E4C1D_.wvu.FilterData" hidden="1">#REF!</definedName>
    <definedName name="Z_62A64161_7D2C_4B25_9826_2598A961CA79_.wvu.FilterData" hidden="1">#REF!</definedName>
    <definedName name="Z_6307DFB2_850A_11D2_BBED_000001011B8F_.wvu.PrintArea" hidden="1">#REF!</definedName>
    <definedName name="Z_63AAC857_DBD4_4C01_A039_2A3037EA82B8_.wvu.FilterData" hidden="1">#REF!</definedName>
    <definedName name="Z_63CD90D1_952A_4D4C_B9F8_5140B2E223E6_.wvu.FilterData" hidden="1">#REF!</definedName>
    <definedName name="Z_651C0DDB_A759_42A4_8558_0BB6024C5E82_.wvu.FilterData" hidden="1">#REF!</definedName>
    <definedName name="Z_6528B4C2_DB00_4F9C_8FD0_46A248EEC302_.wvu.FilterData" hidden="1">#REF!</definedName>
    <definedName name="Z_65A05455_1DA9_4695_8C10_CE4A405905D2_.wvu.Cols" hidden="1">#REF!</definedName>
    <definedName name="Z_65A05455_1DA9_4695_8C10_CE4A405905D2_.wvu.PrintArea" hidden="1">#REF!</definedName>
    <definedName name="Z_65A05455_1DA9_4695_8C10_CE4A405905D2_.wvu.PrintTitles" hidden="1">#REF!</definedName>
    <definedName name="Z_65A05455_1DA9_4695_8C10_CE4A405905D2_.wvu.Rows" hidden="1">#REF!</definedName>
    <definedName name="Z_665AE187_4875_4299_B126_7C55C3708195_.wvu.FilterData" hidden="1">#REF!</definedName>
    <definedName name="Z_674DA161_1036_46F0_9544_F88BD2B71EBF_.wvu.FilterData" hidden="1">#REF!</definedName>
    <definedName name="Z_6835AC15_6464_4419_9941_E391165D93F3_.wvu.FilterData" hidden="1">#REF!</definedName>
    <definedName name="Z_6AA59656_DBBD_48F1_AF26_F0CF4B010938_.wvu.FilterData" hidden="1">#REF!</definedName>
    <definedName name="Z_6AFBD099_4366_11D4_9117_00A024280731_.wvu.FilterData">#REF!</definedName>
    <definedName name="Z_6AFBD099_4366_11D4_9117_00A024280731_.wvu.PrintArea">#REF!</definedName>
    <definedName name="Z_6AFBD099_4366_11D4_9117_00A024280731_.wvu.PrintTitles">#REF!,#REF!</definedName>
    <definedName name="Z_6AFBD09D_4366_11D4_9117_00A024280731_.wvu.FilterData">#REF!</definedName>
    <definedName name="Z_6AFBD09D_4366_11D4_9117_00A024280731_.wvu.PrintArea">#REF!</definedName>
    <definedName name="Z_6AFBD09D_4366_11D4_9117_00A024280731_.wvu.PrintTitles">#REF!,#REF!</definedName>
    <definedName name="Z_6B372885_2968_4ABB_B269_4E7F0CA4D053_.wvu.FilterData" localSheetId="2" hidden="1">#REF!</definedName>
    <definedName name="Z_6B372885_2968_4ABB_B269_4E7F0CA4D053_.wvu.FilterData" hidden="1">#REF!</definedName>
    <definedName name="Z_6BE47E72_085A_4C8B_BC17_807ECD0C7F95_.wvu.FilterData" localSheetId="2" hidden="1">#REF!</definedName>
    <definedName name="Z_6BE47E72_085A_4C8B_BC17_807ECD0C7F95_.wvu.FilterData" hidden="1">#REF!</definedName>
    <definedName name="Z_6E40955B_C2F5_11D5_A6F7_009027BEE7F1_.wvu.Cols" localSheetId="2" hidden="1">#REF!</definedName>
    <definedName name="Z_6E40955B_C2F5_11D5_A6F7_009027BEE7F1_.wvu.Cols" hidden="1">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</definedName>
    <definedName name="Z_6EE4AFE5_8A42_11D0_BBF1_0020AF29375F_.wvu.Cols" hidden="1">#NAME?</definedName>
    <definedName name="Z_6EE4AFE6_8A42_11D0_BBF1_0020AF29375F_.wvu.Cols" hidden="1">#NAME?</definedName>
    <definedName name="Z_6EE4AFE8_8A42_11D0_BBF1_0020AF29375F_.wvu.Cols" hidden="1">#NAME?</definedName>
    <definedName name="Z_6EE4AFE9_8A42_11D0_BBF1_0020AF29375F_.wvu.Cols" hidden="1">#NAME?</definedName>
    <definedName name="Z_6EE4AFEA_8A42_11D0_BBF1_0020AF29375F_.wvu.Cols" hidden="1">#NAME?</definedName>
    <definedName name="Z_6EE4AFEC_8A42_11D0_BBF1_0020AF29375F_.wvu.Cols" hidden="1">#REF!</definedName>
    <definedName name="Z_6EE4AFED_8A42_11D0_BBF1_0020AF29375F_.wvu.Cols" hidden="1">#NAME?</definedName>
    <definedName name="Z_6EE4AFEE_8A42_11D0_BBF1_0020AF29375F_.wvu.Cols" hidden="1">#REF!</definedName>
    <definedName name="Z_6EE4AFEF_8A42_11D0_BBF1_0020AF29375F_.wvu.Cols" hidden="1">#REF!</definedName>
    <definedName name="Z_6EE4AFF1_8A42_11D0_BBF1_0020AF29375F_.wvu.Cols" hidden="1">#REF!</definedName>
    <definedName name="Z_6EE4AFF2_8A42_11D0_BBF1_0020AF29375F_.wvu.Cols" hidden="1">#NAME?</definedName>
    <definedName name="Z_6EE4AFF3_8A42_11D0_BBF1_0020AF29375F_.wvu.Cols" hidden="1">#REF!</definedName>
    <definedName name="Z_6EE4AFF4_8A42_11D0_BBF1_0020AF29375F_.wvu.Cols" hidden="1">#NAME?</definedName>
    <definedName name="Z_6EE4AFF5_8A42_11D0_BBF1_0020AF29375F_.wvu.Cols" hidden="1">#NAME?</definedName>
    <definedName name="Z_6EE4AFF6_8A42_11D0_BBF1_0020AF29375F_.wvu.Cols" hidden="1">#NAME?</definedName>
    <definedName name="Z_6EE4AFF7_8A42_11D0_BBF1_0020AF29375F_.wvu.Cols" hidden="1">#NAME?</definedName>
    <definedName name="Z_6EE4AFF8_8A42_11D0_BBF1_0020AF29375F_.wvu.Cols" hidden="1">#NAME?</definedName>
    <definedName name="Z_6EE4AFF9_8A42_11D0_BBF1_0020AF29375F_.wvu.Cols" hidden="1">#NAME?</definedName>
    <definedName name="Z_6EE4AFFA_8A42_11D0_BBF1_0020AF29375F_.wvu.Cols" hidden="1">#NAME?</definedName>
    <definedName name="Z_6EE4AFFB_8A42_11D0_BBF1_0020AF29375F_.wvu.Cols" hidden="1">#NAME?</definedName>
    <definedName name="Z_6EE4AFFD_8A42_11D0_BBF1_0020AF29375F_.wvu.Cols" hidden="1">#NAME?</definedName>
    <definedName name="Z_6EE4AFFE_8A42_11D0_BBF1_0020AF29375F_.wvu.Cols" hidden="1">#NAME?</definedName>
    <definedName name="Z_6EE4B000_8A42_11D0_BBF1_0020AF29375F_.wvu.Cols" hidden="1">#NAME?</definedName>
    <definedName name="Z_6EE4B001_8A42_11D0_BBF1_0020AF29375F_.wvu.Cols" hidden="1">#NAME?</definedName>
    <definedName name="Z_6EE4B002_8A42_11D0_BBF1_0020AF29375F_.wvu.Cols" hidden="1">#NAME?</definedName>
    <definedName name="Z_6EE4B003_8A42_11D0_BBF1_0020AF29375F_.wvu.Cols" hidden="1">#NAME?</definedName>
    <definedName name="Z_6EE4B004_8A42_11D0_BBF1_0020AF29375F_.wvu.Cols" hidden="1">#REF!</definedName>
    <definedName name="Z_6EE4B005_8A42_11D0_BBF1_0020AF29375F_.wvu.Cols" hidden="1">#NAME?</definedName>
    <definedName name="Z_6EE4B006_8A42_11D0_BBF1_0020AF29375F_.wvu.Cols" hidden="1">#REF!</definedName>
    <definedName name="Z_6EE4B007_8A42_11D0_BBF1_0020AF29375F_.wvu.Cols" hidden="1">#REF!</definedName>
    <definedName name="Z_6EE4B008_8A42_11D0_BBF1_0020AF29375F_.wvu.Cols" hidden="1">#NAME?</definedName>
    <definedName name="Z_6EE4B009_8A42_11D0_BBF1_0020AF29375F_.wvu.Cols" hidden="1">#REF!</definedName>
    <definedName name="Z_6EE4B00A_8A42_11D0_BBF1_0020AF29375F_.wvu.Cols" hidden="1">#NAME?</definedName>
    <definedName name="Z_6EE4B00B_8A42_11D0_BBF1_0020AF29375F_.wvu.Cols" hidden="1">#REF!</definedName>
    <definedName name="Z_6EE4B00C_8A42_11D0_BBF1_0020AF29375F_.wvu.Cols" hidden="1">#NAME?</definedName>
    <definedName name="Z_6EE4B00D_8A42_11D0_BBF1_0020AF29375F_.wvu.Cols" hidden="1">#NAME?</definedName>
    <definedName name="Z_6EE4B00E_8A42_11D0_BBF1_0020AF29375F_.wvu.Cols" hidden="1">#NAME?</definedName>
    <definedName name="Z_6EE4B00F_8A42_11D0_BBF1_0020AF29375F_.wvu.Cols" hidden="1">#NAME?</definedName>
    <definedName name="Z_6EE4B010_8A42_11D0_BBF1_0020AF29375F_.wvu.Cols" hidden="1">#NAME?</definedName>
    <definedName name="Z_6EE4B011_8A42_11D0_BBF1_0020AF29375F_.wvu.Cols" hidden="1">#NAME?</definedName>
    <definedName name="Z_6EE4B012_8A42_11D0_BBF1_0020AF29375F_.wvu.Cols" hidden="1">#NAME?</definedName>
    <definedName name="Z_6EE4B013_8A42_11D0_BBF1_0020AF29375F_.wvu.Cols" hidden="1">#NAME?</definedName>
    <definedName name="Z_6EEEA71C_4926_48E1_82D6_319D44FFF448_.wvu.FilterData" hidden="1">#REF!</definedName>
    <definedName name="Z_7094BD01_2C75_11D6_A03E_00002127C0BB_.wvu.FilterData" hidden="1">#REF!</definedName>
    <definedName name="Z_70E9AC36_2464_11D6_A03E_00002127C0BB_.wvu.FilterData" hidden="1">#REF!</definedName>
    <definedName name="Z_70E9AC38_2464_11D6_A03E_00002127C0BB_.wvu.FilterData" hidden="1">#REF!</definedName>
    <definedName name="Z_70E9AC3A_2464_11D6_A03E_00002127C0BB_.wvu.FilterData" hidden="1">#REF!</definedName>
    <definedName name="Z_71C50541_87A4_11D3_9A0A_080009EBAE0C_.wvu.Cols">#REF!,#REF!,#REF!,#REF!,#REF!,#REF!,#REF!,#REF!,#REF!,#REF!,#REF!,#REF!</definedName>
    <definedName name="Z_71C50541_87A4_11D3_9A0A_080009EBAE0C_.wvu.PrintTitles">#REF!,#REF!</definedName>
    <definedName name="Z_7306C462_A330_11D7_AE61_0000B43DBF1A_.wvu.FilterData" localSheetId="2" hidden="1">#REF!</definedName>
    <definedName name="Z_7306C462_A330_11D7_AE61_0000B43DBF1A_.wvu.FilterData" hidden="1">#REF!</definedName>
    <definedName name="Z_7306C465_A330_11D7_AE61_0000B43DBF1A_.wvu.FilterData" localSheetId="2" hidden="1">#REF!</definedName>
    <definedName name="Z_7306C465_A330_11D7_AE61_0000B43DBF1A_.wvu.FilterData" hidden="1">#REF!</definedName>
    <definedName name="Z_7306C469_A330_11D7_AE61_0000B43DBF1A_.wvu.FilterData" localSheetId="2" hidden="1">#REF!</definedName>
    <definedName name="Z_7306C469_A330_11D7_AE61_0000B43DBF1A_.wvu.FilterData" hidden="1">#REF!</definedName>
    <definedName name="Z_7306C46D_A330_11D7_AE61_0000B43DBF1A_.wvu.FilterData" hidden="1">#REF!</definedName>
    <definedName name="Z_73A5C6E2_2E29_11D7_858E_00C026A77BFE_.wvu.FilterData" hidden="1">#REF!</definedName>
    <definedName name="Z_743BB30D_5820_460D_962A_C836C36BF133_.wvu.FilterData" hidden="1">#REF!</definedName>
    <definedName name="Z_7650F72F_A188_4A61_AAE2_ED5343C75A26_.wvu.FilterData" hidden="1">#REF!</definedName>
    <definedName name="Z_79E12760_826D_11D1_88A7_00C12802261E_.wvu.FilterData" hidden="1">#REF!</definedName>
    <definedName name="Z_7BD3E857_73D0_49E9_ADB6_7235DF2DC24E_.wvu.FilterData" hidden="1">#REF!</definedName>
    <definedName name="Z_7BF47254_0359_4D29_B486_8747B7B9F766_.wvu.FilterData" hidden="1">#REF!</definedName>
    <definedName name="Z_7CDB19E7_8CFC_11D7_AE61_0000B43DBF1A_.wvu.FilterData" hidden="1">#REF!</definedName>
    <definedName name="Z_7E705919_58E8_40AD_B090_9BAFA646BA30_.wvu.FilterData" hidden="1">#REF!</definedName>
    <definedName name="Z_7E79034B_F00A_4B77_89D2_B69600F2E830_.wvu.PrintTitles" hidden="1">#REF!</definedName>
    <definedName name="Z_7F7A0042_4ABB_4B0B_A79A_AAD3B9D97B24_.wvu.FilterData" hidden="1">#REF!</definedName>
    <definedName name="Z_8143DB4A_1BC0_49A4_B528_B2A5D6968C26_.wvu.FilterData" hidden="1">#REF!</definedName>
    <definedName name="Z_82162C14_21B9_4F0E_9062_D64779601F45_.wvu.Cols" hidden="1">#REF!</definedName>
    <definedName name="Z_82162C14_21B9_4F0E_9062_D64779601F45_.wvu.FilterData" hidden="1">#REF!</definedName>
    <definedName name="Z_82162C14_21B9_4F0E_9062_D64779601F45_.wvu.PrintArea" hidden="1">#REF!</definedName>
    <definedName name="Z_82162C14_21B9_4F0E_9062_D64779601F45_.wvu.Rows" hidden="1">#REF!</definedName>
    <definedName name="Z_82C393E4_CD67_11D7_BA5E_00C128025698_.wvu.Rows" hidden="1">#NAME?</definedName>
    <definedName name="Z_82E8DDC1_5DC4_4869_A3CA_AE979580DFC4_.wvu.FilterData" hidden="1">#REF!</definedName>
    <definedName name="Z_841A2BF5_3103_43B8_8B58_A44D64AC122E_.wvu.FilterData" hidden="1">#REF!</definedName>
    <definedName name="Z_848D0933_6E9B_4DEC_B4B2_9E107E1665FD_.wvu.FilterData" hidden="1">#REF!</definedName>
    <definedName name="Z_85B0ED75_B773_44FF_B36D_C46A7C8175E9_.wvu.PrintArea">#REF!</definedName>
    <definedName name="Z_85B0ED75_B773_44FF_B36D_C46A7C8175E9_.wvu.PrintTitles">#REF!</definedName>
    <definedName name="Z_87289224_C76A_4CBA_A8FC_D2B0A140C0F2_.wvu.FilterData" hidden="1">#REF!</definedName>
    <definedName name="Z_8747D421_826E_11D1_88A2_00C12802261E_.wvu.PrintTitles" hidden="1">#REF!</definedName>
    <definedName name="Z_895EB980_BDF5_11D3_8A48_0020AF27A350_.wvu.Cols">#REF!,#REF!,#REF!,#REF!,#REF!,#REF!,#REF!,#REF!,#REF!,#REF!,#REF!,#REF!</definedName>
    <definedName name="Z_895EB980_BDF5_11D3_8A48_0020AF27A350_.wvu.PrintTitles">#REF!,#REF!</definedName>
    <definedName name="Z_895EB981_BDF5_11D3_8A48_0020AF27A350_.wvu.Cols">#REF!,#REF!,#REF!,#REF!,#REF!,#REF!,#REF!,#REF!,#REF!,#REF!,#REF!,#REF!,#REF!</definedName>
    <definedName name="Z_895EB981_BDF5_11D3_8A48_0020AF27A350_.wvu.PrintTitles">#REF!,#REF!</definedName>
    <definedName name="Z_8B1DAE44_2DF3_11D7_858E_00C026A77BFE_.wvu.FilterData" localSheetId="2" hidden="1">#REF!</definedName>
    <definedName name="Z_8B1DAE44_2DF3_11D7_858E_00C026A77BFE_.wvu.FilterData" hidden="1">#REF!</definedName>
    <definedName name="Z_8E64FCAB_04BD_11D4_8A4A_006097BB52B9_.wvu.PrintTitles">#REF!,#REF!</definedName>
    <definedName name="Z_8E64FCAC_04BD_11D4_8A4A_006097BB52B9_.wvu.PrintTitles">#REF!,#REF!</definedName>
    <definedName name="Z_8E6B6B88_A87A_11D7_858E_00C026A77BFE_.wvu.FilterData" localSheetId="2" hidden="1">#REF!</definedName>
    <definedName name="Z_8E6B6B88_A87A_11D7_858E_00C026A77BFE_.wvu.FilterData" hidden="1">#REF!</definedName>
    <definedName name="Z_8E6B6B8E_A87A_11D7_858E_00C026A77BFE_.wvu.FilterData" localSheetId="2" hidden="1">#REF!</definedName>
    <definedName name="Z_8E6B6B8E_A87A_11D7_858E_00C026A77BFE_.wvu.FilterData" hidden="1">#REF!</definedName>
    <definedName name="Z_901DD601_3312_11D5_8F89_00010215A1CA_.wvu.Rows" localSheetId="2" hidden="1">#REF!</definedName>
    <definedName name="Z_901DD601_3312_11D5_8F89_00010215A1CA_.wvu.Rows" hidden="1">#REF!</definedName>
    <definedName name="Z_90FCB745_DAB8_4E3A_B6B7_8BC6336F8558_.wvu.FilterData" hidden="1">#REF!</definedName>
    <definedName name="Z_91485F0D_0CA4_496C_823B_F3DDC2FE25AC_.wvu.FilterData" hidden="1">#REF!</definedName>
    <definedName name="Z_9208C86D_C6DF_11D0_B623_0020AF49B783_.wvu.Cols" hidden="1">#NAME?</definedName>
    <definedName name="Z_9208C86E_C6DF_11D0_B623_0020AF49B783_.wvu.Cols" hidden="1">#NAME?</definedName>
    <definedName name="Z_9208C870_C6DF_11D0_B623_0020AF49B783_.wvu.Cols" hidden="1">#NAME?</definedName>
    <definedName name="Z_9208C871_C6DF_11D0_B623_0020AF49B783_.wvu.Cols" hidden="1">#NAME?</definedName>
    <definedName name="Z_9208C872_C6DF_11D0_B623_0020AF49B783_.wvu.Cols" hidden="1">#NAME?</definedName>
    <definedName name="Z_9208C874_C6DF_11D0_B623_0020AF49B783_.wvu.Cols" hidden="1">#REF!</definedName>
    <definedName name="Z_9208C875_C6DF_11D0_B623_0020AF49B783_.wvu.Cols" hidden="1">#NAME?</definedName>
    <definedName name="Z_9208C876_C6DF_11D0_B623_0020AF49B783_.wvu.Cols" hidden="1">#REF!</definedName>
    <definedName name="Z_9208C877_C6DF_11D0_B623_0020AF49B783_.wvu.Cols" hidden="1">#REF!</definedName>
    <definedName name="Z_9208C879_C6DF_11D0_B623_0020AF49B783_.wvu.Cols" hidden="1">#REF!</definedName>
    <definedName name="Z_9208C87A_C6DF_11D0_B623_0020AF49B783_.wvu.Cols" hidden="1">#NAME?</definedName>
    <definedName name="Z_9208C87B_C6DF_11D0_B623_0020AF49B783_.wvu.Cols" hidden="1">#REF!</definedName>
    <definedName name="Z_9208C87C_C6DF_11D0_B623_0020AF49B783_.wvu.Cols" hidden="1">#NAME?</definedName>
    <definedName name="Z_9208C87D_C6DF_11D0_B623_0020AF49B783_.wvu.Cols" hidden="1">#NAME?</definedName>
    <definedName name="Z_9208C87E_C6DF_11D0_B623_0020AF49B783_.wvu.Cols" hidden="1">#NAME?</definedName>
    <definedName name="Z_9208C87F_C6DF_11D0_B623_0020AF49B783_.wvu.Cols" hidden="1">#NAME?</definedName>
    <definedName name="Z_9208C880_C6DF_11D0_B623_0020AF49B783_.wvu.Cols" hidden="1">#NAME?</definedName>
    <definedName name="Z_9208C881_C6DF_11D0_B623_0020AF49B783_.wvu.Cols" hidden="1">#NAME?</definedName>
    <definedName name="Z_9208C882_C6DF_11D0_B623_0020AF49B783_.wvu.Cols" hidden="1">#NAME?</definedName>
    <definedName name="Z_9208C883_C6DF_11D0_B623_0020AF49B783_.wvu.Cols" hidden="1">#NAME?</definedName>
    <definedName name="Z_9208C885_C6DF_11D0_B623_0020AF49B783_.wvu.Cols" hidden="1">#NAME?</definedName>
    <definedName name="Z_9208C886_C6DF_11D0_B623_0020AF49B783_.wvu.Cols" hidden="1">#NAME?</definedName>
    <definedName name="Z_9208C888_C6DF_11D0_B623_0020AF49B783_.wvu.Cols" hidden="1">#NAME?</definedName>
    <definedName name="Z_9208C889_C6DF_11D0_B623_0020AF49B783_.wvu.Cols" hidden="1">#NAME?</definedName>
    <definedName name="Z_9208C88A_C6DF_11D0_B623_0020AF49B783_.wvu.Cols" hidden="1">#NAME?</definedName>
    <definedName name="Z_9208C88B_C6DF_11D0_B623_0020AF49B783_.wvu.Cols" hidden="1">#NAME?</definedName>
    <definedName name="Z_9208C88C_C6DF_11D0_B623_0020AF49B783_.wvu.Cols" hidden="1">#REF!</definedName>
    <definedName name="Z_9208C88D_C6DF_11D0_B623_0020AF49B783_.wvu.Cols" hidden="1">#NAME?</definedName>
    <definedName name="Z_9208C88E_C6DF_11D0_B623_0020AF49B783_.wvu.Cols" hidden="1">#REF!</definedName>
    <definedName name="Z_9208C88F_C6DF_11D0_B623_0020AF49B783_.wvu.Cols" hidden="1">#REF!</definedName>
    <definedName name="Z_9208C890_C6DF_11D0_B623_0020AF49B783_.wvu.Cols" hidden="1">#NAME?</definedName>
    <definedName name="Z_9208C891_C6DF_11D0_B623_0020AF49B783_.wvu.Cols" hidden="1">#REF!</definedName>
    <definedName name="Z_9208C892_C6DF_11D0_B623_0020AF49B783_.wvu.Cols" hidden="1">#NAME?</definedName>
    <definedName name="Z_9208C893_C6DF_11D0_B623_0020AF49B783_.wvu.Cols" hidden="1">#REF!</definedName>
    <definedName name="Z_9208C894_C6DF_11D0_B623_0020AF49B783_.wvu.Cols" hidden="1">#NAME?</definedName>
    <definedName name="Z_9208C895_C6DF_11D0_B623_0020AF49B783_.wvu.Cols" hidden="1">#NAME?</definedName>
    <definedName name="Z_9208C896_C6DF_11D0_B623_0020AF49B783_.wvu.Cols" hidden="1">#NAME?</definedName>
    <definedName name="Z_9208C897_C6DF_11D0_B623_0020AF49B783_.wvu.Cols" hidden="1">#NAME?</definedName>
    <definedName name="Z_9208C898_C6DF_11D0_B623_0020AF49B783_.wvu.Cols" hidden="1">#NAME?</definedName>
    <definedName name="Z_9208C899_C6DF_11D0_B623_0020AF49B783_.wvu.Cols" hidden="1">#NAME?</definedName>
    <definedName name="Z_9208C89A_C6DF_11D0_B623_0020AF49B783_.wvu.Cols" hidden="1">#NAME?</definedName>
    <definedName name="Z_9208C89B_C6DF_11D0_B623_0020AF49B783_.wvu.Cols" hidden="1">#NAME?</definedName>
    <definedName name="Z_92F7E094_0E3C_11D1_BBF1_0020AF29375F_.wvu.Cols" hidden="1">#NAME?</definedName>
    <definedName name="Z_92F7E095_0E3C_11D1_BBF1_0020AF29375F_.wvu.Cols" hidden="1">#NAME?</definedName>
    <definedName name="Z_92F7E097_0E3C_11D1_BBF1_0020AF29375F_.wvu.Cols" hidden="1">#NAME?</definedName>
    <definedName name="Z_92F7E098_0E3C_11D1_BBF1_0020AF29375F_.wvu.Cols" hidden="1">#NAME?</definedName>
    <definedName name="Z_92F7E099_0E3C_11D1_BBF1_0020AF29375F_.wvu.Cols" hidden="1">#NAME?</definedName>
    <definedName name="Z_92F7E09B_0E3C_11D1_BBF1_0020AF29375F_.wvu.Cols" hidden="1">#REF!</definedName>
    <definedName name="Z_92F7E09C_0E3C_11D1_BBF1_0020AF29375F_.wvu.Cols" hidden="1">#NAME?</definedName>
    <definedName name="Z_92F7E09D_0E3C_11D1_BBF1_0020AF29375F_.wvu.Cols" hidden="1">#REF!</definedName>
    <definedName name="Z_92F7E09E_0E3C_11D1_BBF1_0020AF29375F_.wvu.Cols" hidden="1">#REF!</definedName>
    <definedName name="Z_92F7E0A0_0E3C_11D1_BBF1_0020AF29375F_.wvu.Cols" hidden="1">#REF!</definedName>
    <definedName name="Z_92F7E0A1_0E3C_11D1_BBF1_0020AF29375F_.wvu.Cols" hidden="1">#NAME?</definedName>
    <definedName name="Z_92F7E0A2_0E3C_11D1_BBF1_0020AF29375F_.wvu.Cols" hidden="1">#REF!</definedName>
    <definedName name="Z_92F7E0A3_0E3C_11D1_BBF1_0020AF29375F_.wvu.Cols" hidden="1">#NAME?</definedName>
    <definedName name="Z_92F7E0A4_0E3C_11D1_BBF1_0020AF29375F_.wvu.Cols" hidden="1">#NAME?</definedName>
    <definedName name="Z_92F7E0A5_0E3C_11D1_BBF1_0020AF29375F_.wvu.Cols" hidden="1">#NAME?</definedName>
    <definedName name="Z_92F7E0A6_0E3C_11D1_BBF1_0020AF29375F_.wvu.Cols" hidden="1">#NAME?</definedName>
    <definedName name="Z_92F7E0A7_0E3C_11D1_BBF1_0020AF29375F_.wvu.Cols" hidden="1">#NAME?</definedName>
    <definedName name="Z_92F7E0A8_0E3C_11D1_BBF1_0020AF29375F_.wvu.Cols" hidden="1">#NAME?</definedName>
    <definedName name="Z_92F7E0A9_0E3C_11D1_BBF1_0020AF29375F_.wvu.Cols" hidden="1">#NAME?</definedName>
    <definedName name="Z_92F7E0AA_0E3C_11D1_BBF1_0020AF29375F_.wvu.Cols" hidden="1">#NAME?</definedName>
    <definedName name="Z_92F7E0AC_0E3C_11D1_BBF1_0020AF29375F_.wvu.Cols" hidden="1">#NAME?</definedName>
    <definedName name="Z_92F7E0AD_0E3C_11D1_BBF1_0020AF29375F_.wvu.Cols" hidden="1">#NAME?</definedName>
    <definedName name="Z_92F7E0AF_0E3C_11D1_BBF1_0020AF29375F_.wvu.Cols" hidden="1">#NAME?</definedName>
    <definedName name="Z_92F7E0B0_0E3C_11D1_BBF1_0020AF29375F_.wvu.Cols" hidden="1">#NAME?</definedName>
    <definedName name="Z_92F7E0B1_0E3C_11D1_BBF1_0020AF29375F_.wvu.Cols" hidden="1">#NAME?</definedName>
    <definedName name="Z_92F7E0B2_0E3C_11D1_BBF1_0020AF29375F_.wvu.Cols" hidden="1">#NAME?</definedName>
    <definedName name="Z_92F7E0B3_0E3C_11D1_BBF1_0020AF29375F_.wvu.Cols" hidden="1">#REF!</definedName>
    <definedName name="Z_92F7E0B4_0E3C_11D1_BBF1_0020AF29375F_.wvu.Cols" hidden="1">#NAME?</definedName>
    <definedName name="Z_92F7E0B5_0E3C_11D1_BBF1_0020AF29375F_.wvu.Cols" hidden="1">#REF!</definedName>
    <definedName name="Z_92F7E0B6_0E3C_11D1_BBF1_0020AF29375F_.wvu.Cols" hidden="1">#REF!</definedName>
    <definedName name="Z_92F7E0B7_0E3C_11D1_BBF1_0020AF29375F_.wvu.Cols" hidden="1">#NAME?</definedName>
    <definedName name="Z_92F7E0B8_0E3C_11D1_BBF1_0020AF29375F_.wvu.Cols" hidden="1">#REF!</definedName>
    <definedName name="Z_92F7E0B9_0E3C_11D1_BBF1_0020AF29375F_.wvu.Cols" hidden="1">#NAME?</definedName>
    <definedName name="Z_92F7E0BA_0E3C_11D1_BBF1_0020AF29375F_.wvu.Cols" hidden="1">#REF!</definedName>
    <definedName name="Z_92F7E0BB_0E3C_11D1_BBF1_0020AF29375F_.wvu.Cols" hidden="1">#NAME?</definedName>
    <definedName name="Z_92F7E0BC_0E3C_11D1_BBF1_0020AF29375F_.wvu.Cols" hidden="1">#NAME?</definedName>
    <definedName name="Z_92F7E0BD_0E3C_11D1_BBF1_0020AF29375F_.wvu.Cols" hidden="1">#NAME?</definedName>
    <definedName name="Z_92F7E0BE_0E3C_11D1_BBF1_0020AF29375F_.wvu.Cols" hidden="1">#NAME?</definedName>
    <definedName name="Z_92F7E0BF_0E3C_11D1_BBF1_0020AF29375F_.wvu.Cols" hidden="1">#NAME?</definedName>
    <definedName name="Z_92F7E0C0_0E3C_11D1_BBF1_0020AF29375F_.wvu.Cols" hidden="1">#NAME?</definedName>
    <definedName name="Z_92F7E0C1_0E3C_11D1_BBF1_0020AF29375F_.wvu.Cols" hidden="1">#NAME?</definedName>
    <definedName name="Z_92F7E0C2_0E3C_11D1_BBF1_0020AF29375F_.wvu.Cols" hidden="1">#NAME?</definedName>
    <definedName name="Z_93EDBBAF_5BE3_4293_8544_00C5A924E3DC_.wvu.FilterData" hidden="1">#REF!</definedName>
    <definedName name="Z_945130B4_920E_4F12_9F2B_C775907B67BE_.wvu.FilterData" hidden="1">#REF!</definedName>
    <definedName name="Z_9467E7A7_F143_40B4_B644_85E3AB63CC9D_.wvu.FilterData" hidden="1">#REF!</definedName>
    <definedName name="Z_94DA07B9_6149_11D3_9A0A_080009EBAE0C_.wvu.Cols">#REF!,#REF!,#REF!,#REF!,#REF!,#REF!,#REF!,#REF!,#REF!,#REF!,#REF!,#REF!</definedName>
    <definedName name="Z_94DA07B9_6149_11D3_9A0A_080009EBAE0C_.wvu.PrintTitles">#REF!,#REF!</definedName>
    <definedName name="Z_94DA07BC_6149_11D3_9A0A_080009EBAE0C_.wvu.Cols">#REF!,#REF!,#REF!,#REF!,#REF!,#REF!,#REF!,#REF!,#REF!,#REF!,#REF!,#REF!,#REF!</definedName>
    <definedName name="Z_94DA07BC_6149_11D3_9A0A_080009EBAE0C_.wvu.PrintTitles">#REF!,#REF!</definedName>
    <definedName name="Z_96560085_3B2C_4B66_BB8C_8E1819A85619_.wvu.FilterData" localSheetId="2" hidden="1">#REF!</definedName>
    <definedName name="Z_96560085_3B2C_4B66_BB8C_8E1819A85619_.wvu.FilterData" hidden="1">#REF!</definedName>
    <definedName name="Z_9673D06C_8E2D_4E41_BE89_13756C9C3BAE_.wvu.PrintArea" localSheetId="2" hidden="1">#REF!</definedName>
    <definedName name="Z_9673D06C_8E2D_4E41_BE89_13756C9C3BAE_.wvu.PrintArea" hidden="1">#REF!</definedName>
    <definedName name="Z_96968F18_D6E3_41C9_ACDE_814EE0ACF8CD_.wvu.FilterData" localSheetId="2" hidden="1">#REF!</definedName>
    <definedName name="Z_96968F18_D6E3_41C9_ACDE_814EE0ACF8CD_.wvu.FilterData" hidden="1">#REF!</definedName>
    <definedName name="Z_96AA1B4D_E178_11D0_BBF1_0020AF29375F_.wvu.Cols" hidden="1">#NAME?</definedName>
    <definedName name="Z_96AA1B4E_E178_11D0_BBF1_0020AF29375F_.wvu.Cols" hidden="1">#NAME?</definedName>
    <definedName name="Z_96AA1B50_E178_11D0_BBF1_0020AF29375F_.wvu.Cols" hidden="1">#NAME?</definedName>
    <definedName name="Z_96AA1B51_E178_11D0_BBF1_0020AF29375F_.wvu.Cols" hidden="1">#NAME?</definedName>
    <definedName name="Z_96AA1B52_E178_11D0_BBF1_0020AF29375F_.wvu.Cols" hidden="1">#NAME?</definedName>
    <definedName name="Z_96AA1B54_E178_11D0_BBF1_0020AF29375F_.wvu.Cols" hidden="1">#REF!</definedName>
    <definedName name="Z_96AA1B55_E178_11D0_BBF1_0020AF29375F_.wvu.Cols" hidden="1">#NAME?</definedName>
    <definedName name="Z_96AA1B56_E178_11D0_BBF1_0020AF29375F_.wvu.Cols" hidden="1">#REF!</definedName>
    <definedName name="Z_96AA1B57_E178_11D0_BBF1_0020AF29375F_.wvu.Cols" hidden="1">#REF!</definedName>
    <definedName name="Z_96AA1B59_E178_11D0_BBF1_0020AF29375F_.wvu.Cols" hidden="1">#REF!</definedName>
    <definedName name="Z_96AA1B5A_E178_11D0_BBF1_0020AF29375F_.wvu.Cols" hidden="1">#NAME?</definedName>
    <definedName name="Z_96AA1B5B_E178_11D0_BBF1_0020AF29375F_.wvu.Cols" hidden="1">#REF!</definedName>
    <definedName name="Z_96AA1B5C_E178_11D0_BBF1_0020AF29375F_.wvu.Cols" hidden="1">#NAME?</definedName>
    <definedName name="Z_96AA1B5D_E178_11D0_BBF1_0020AF29375F_.wvu.Cols" hidden="1">#NAME?</definedName>
    <definedName name="Z_96AA1B5E_E178_11D0_BBF1_0020AF29375F_.wvu.Cols" hidden="1">#NAME?</definedName>
    <definedName name="Z_96AA1B5F_E178_11D0_BBF1_0020AF29375F_.wvu.Cols" hidden="1">#NAME?</definedName>
    <definedName name="Z_96AA1B60_E178_11D0_BBF1_0020AF29375F_.wvu.Cols" hidden="1">#NAME?</definedName>
    <definedName name="Z_96AA1B61_E178_11D0_BBF1_0020AF29375F_.wvu.Cols" hidden="1">#NAME?</definedName>
    <definedName name="Z_96AA1B62_E178_11D0_BBF1_0020AF29375F_.wvu.Cols" hidden="1">#NAME?</definedName>
    <definedName name="Z_96AA1B63_E178_11D0_BBF1_0020AF29375F_.wvu.Cols" hidden="1">#NAME?</definedName>
    <definedName name="Z_96AA1B65_E178_11D0_BBF1_0020AF29375F_.wvu.Cols" hidden="1">#NAME?</definedName>
    <definedName name="Z_96AA1B66_E178_11D0_BBF1_0020AF29375F_.wvu.Cols" hidden="1">#NAME?</definedName>
    <definedName name="Z_96AA1B68_E178_11D0_BBF1_0020AF29375F_.wvu.Cols" hidden="1">#NAME?</definedName>
    <definedName name="Z_96AA1B69_E178_11D0_BBF1_0020AF29375F_.wvu.Cols" hidden="1">#NAME?</definedName>
    <definedName name="Z_96AA1B6A_E178_11D0_BBF1_0020AF29375F_.wvu.Cols" hidden="1">#NAME?</definedName>
    <definedName name="Z_96AA1B6B_E178_11D0_BBF1_0020AF29375F_.wvu.Cols" hidden="1">#NAME?</definedName>
    <definedName name="Z_96AA1B6C_E178_11D0_BBF1_0020AF29375F_.wvu.Cols" hidden="1">#REF!</definedName>
    <definedName name="Z_96AA1B6D_E178_11D0_BBF1_0020AF29375F_.wvu.Cols" hidden="1">#NAME?</definedName>
    <definedName name="Z_96AA1B6E_E178_11D0_BBF1_0020AF29375F_.wvu.Cols" hidden="1">#REF!</definedName>
    <definedName name="Z_96AA1B6F_E178_11D0_BBF1_0020AF29375F_.wvu.Cols" hidden="1">#REF!</definedName>
    <definedName name="Z_96AA1B70_E178_11D0_BBF1_0020AF29375F_.wvu.Cols" hidden="1">#NAME?</definedName>
    <definedName name="Z_96AA1B71_E178_11D0_BBF1_0020AF29375F_.wvu.Cols" hidden="1">#REF!</definedName>
    <definedName name="Z_96AA1B72_E178_11D0_BBF1_0020AF29375F_.wvu.Cols" hidden="1">#NAME?</definedName>
    <definedName name="Z_96AA1B73_E178_11D0_BBF1_0020AF29375F_.wvu.Cols" hidden="1">#REF!</definedName>
    <definedName name="Z_96AA1B74_E178_11D0_BBF1_0020AF29375F_.wvu.Cols" hidden="1">#NAME?</definedName>
    <definedName name="Z_96AA1B75_E178_11D0_BBF1_0020AF29375F_.wvu.Cols" hidden="1">#NAME?</definedName>
    <definedName name="Z_96AA1B76_E178_11D0_BBF1_0020AF29375F_.wvu.Cols" hidden="1">#NAME?</definedName>
    <definedName name="Z_96AA1B77_E178_11D0_BBF1_0020AF29375F_.wvu.Cols" hidden="1">#NAME?</definedName>
    <definedName name="Z_96AA1B78_E178_11D0_BBF1_0020AF29375F_.wvu.Cols" hidden="1">#NAME?</definedName>
    <definedName name="Z_96AA1B79_E178_11D0_BBF1_0020AF29375F_.wvu.Cols" hidden="1">#NAME?</definedName>
    <definedName name="Z_96AA1B7A_E178_11D0_BBF1_0020AF29375F_.wvu.Cols" hidden="1">#NAME?</definedName>
    <definedName name="Z_96AA1B7B_E178_11D0_BBF1_0020AF29375F_.wvu.Cols" hidden="1">#NAME?</definedName>
    <definedName name="Z_96D89F44_8F68_4E44_86E0_082CB334CC5E_.wvu.FilterData" hidden="1">#REF!</definedName>
    <definedName name="Z_97D7778C_048C_11D4_8468_00A024EB33FF_.wvu.PrintTitles">#REF!,#REF!</definedName>
    <definedName name="Z_97D7778D_048C_11D4_8468_00A024EB33FF_.wvu.PrintTitles">#REF!,#REF!</definedName>
    <definedName name="Z_98A41BEE_055D_4F2E_891A_E0150A744CF5_.wvu.FilterData" localSheetId="2" hidden="1">#REF!</definedName>
    <definedName name="Z_98A41BEE_055D_4F2E_891A_E0150A744CF5_.wvu.FilterData" hidden="1">#REF!</definedName>
    <definedName name="Z_9B021F13_0496_11D4_8A4A_006097BB52B9_.wvu.PrintTitles">#REF!,#REF!</definedName>
    <definedName name="Z_9B021F14_0496_11D4_8A4A_006097BB52B9_.wvu.PrintTitles">#REF!,#REF!</definedName>
    <definedName name="Z_9B021F6F_0496_11D4_8A4A_006097BB52B9_.wvu.PrintTitles">#REF!,#REF!</definedName>
    <definedName name="Z_9B021F70_0496_11D4_8A4A_006097BB52B9_.wvu.PrintTitles">#REF!,#REF!</definedName>
    <definedName name="Z_9B5BB346_8889_481C_B40D_DFE774645B28_.wvu.PrintTitles" localSheetId="2" hidden="1">#REF!</definedName>
    <definedName name="Z_9B5BB346_8889_481C_B40D_DFE774645B28_.wvu.PrintTitles" hidden="1">#REF!</definedName>
    <definedName name="Z_9B9F8217_DFAB_11D3_AE91_0090272D3C77_.wvu.FilterData" localSheetId="2" hidden="1">#REF!</definedName>
    <definedName name="Z_9B9F8217_DFAB_11D3_AE91_0090272D3C77_.wvu.FilterData" hidden="1">#REF!</definedName>
    <definedName name="Z_9BD7FD31_F271_40CC_A3F8_C023AFBDD14B_.wvu.FilterData" localSheetId="2" hidden="1">#REF!</definedName>
    <definedName name="Z_9BD7FD31_F271_40CC_A3F8_C023AFBDD14B_.wvu.FilterData" hidden="1">#REF!</definedName>
    <definedName name="Z_9C23E064_404E_11D3_9A0A_080009EBAE0C_.wvu.Cols">#REF!,#REF!,#REF!,#REF!,#REF!,#REF!,#REF!,#REF!,#REF!,#REF!,#REF!,#REF!</definedName>
    <definedName name="Z_9C23E064_404E_11D3_9A0A_080009EBAE0C_.wvu.PrintTitles">#REF!,#REF!</definedName>
    <definedName name="Z_9C23E067_404E_11D3_9A0A_080009EBAE0C_.wvu.Cols">#REF!,#REF!,#REF!,#REF!,#REF!,#REF!,#REF!,#REF!,#REF!,#REF!,#REF!,#REF!,#REF!</definedName>
    <definedName name="Z_9C23E067_404E_11D3_9A0A_080009EBAE0C_.wvu.PrintTitles">#REF!,#REF!</definedName>
    <definedName name="Z_9CE15071_E7E2_4889_A8FA_BCEE121CFD5E_.wvu.FilterData" localSheetId="2" hidden="1">#REF!</definedName>
    <definedName name="Z_9CE15071_E7E2_4889_A8FA_BCEE121CFD5E_.wvu.FilterData" hidden="1">#REF!</definedName>
    <definedName name="Z_9D3959E8_A0DF_4D48_92C6_FEE035A584CA_.wvu.FilterData" localSheetId="2" hidden="1">#REF!</definedName>
    <definedName name="Z_9D3959E8_A0DF_4D48_92C6_FEE035A584CA_.wvu.FilterData" hidden="1">#REF!</definedName>
    <definedName name="Z_9E11E78F_9288_11D7_858E_00C026A77BFE_.wvu.FilterData" localSheetId="2" hidden="1">#REF!</definedName>
    <definedName name="Z_9E11E78F_9288_11D7_858E_00C026A77BFE_.wvu.FilterData" hidden="1">#REF!</definedName>
    <definedName name="Z_9E128564_2AA9_4891_A9FE_E5B612FC87EA_.wvu.FilterData" hidden="1">#REF!</definedName>
    <definedName name="Z_9F4E9141_41FC_4B2C_AC1F_EC647474A564_.wvu.PrintArea" hidden="1">#REF!</definedName>
    <definedName name="Z_9F4E9141_41FC_4B2C_AC1F_EC647474A564_.wvu.Rows" hidden="1">#REF!</definedName>
    <definedName name="Z_9FA4D174_9E6A_47D4_A661_D1DA17C89C88_.wvu.FilterData" hidden="1">#REF!</definedName>
    <definedName name="Z_9FEBFC06_403A_11D3_9A0A_080009EBAE0C_.wvu.Cols">#REF!,#REF!,#REF!,#REF!,#REF!,#REF!,#REF!,#REF!,#REF!,#REF!,#REF!,#REF!</definedName>
    <definedName name="Z_9FEBFC06_403A_11D3_9A0A_080009EBAE0C_.wvu.PrintTitles">#REF!,#REF!</definedName>
    <definedName name="Z_9FEBFC09_403A_11D3_9A0A_080009EBAE0C_.wvu.Cols">#REF!,#REF!,#REF!,#REF!,#REF!,#REF!,#REF!,#REF!,#REF!,#REF!,#REF!,#REF!,#REF!</definedName>
    <definedName name="Z_9FEBFC09_403A_11D3_9A0A_080009EBAE0C_.wvu.PrintTitles">#REF!,#REF!</definedName>
    <definedName name="Z_A0AC4B42_5259_11D4_B5FE_00C04FC949BF_.wvu.Cols" localSheetId="2" hidden="1">#REF!</definedName>
    <definedName name="Z_A0AC4B42_5259_11D4_B5FE_00C04FC949BF_.wvu.Cols" hidden="1">#REF!</definedName>
    <definedName name="Z_A0AC4B42_5259_11D4_B5FE_00C04FC949BF_.wvu.FilterData" localSheetId="2" hidden="1">#REF!</definedName>
    <definedName name="Z_A0AC4B42_5259_11D4_B5FE_00C04FC949BF_.wvu.FilterData" hidden="1">#REF!</definedName>
    <definedName name="Z_A0AC4B42_5259_11D4_B5FE_00C04FC949BF_.wvu.PrintArea" localSheetId="2" hidden="1">#REF!</definedName>
    <definedName name="Z_A0AC4B42_5259_11D4_B5FE_00C04FC949BF_.wvu.PrintArea" hidden="1">#REF!</definedName>
    <definedName name="Z_A0AC4B42_5259_11D4_B5FE_00C04FC949BF_.wvu.PrintTitles" hidden="1">#REF!</definedName>
    <definedName name="Z_A0AC4B42_5259_11D4_B5FE_00C04FC949BF_.wvu.Rows" hidden="1">#REF!</definedName>
    <definedName name="Z_A158D6E1_ED44_11D4_A6F7_00508B654028_.wvu.Cols" hidden="1">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</definedName>
    <definedName name="Z_A1764E9F_BFD1_41FF_9325_5ED6F9C41AE8_.wvu.FilterData" hidden="1">#REF!</definedName>
    <definedName name="Z_A179A6FC_9305_441E_8574_39772D9017FA_.wvu.FilterData" hidden="1">#REF!</definedName>
    <definedName name="Z_A29314BD_F0FC_48A2_9BF2_65EEDD8265AB_.wvu.FilterData" hidden="1">#REF!</definedName>
    <definedName name="Z_A2D57787_9C34_4978_85EE_8955C90AB370_.wvu.FilterData" hidden="1">#REF!</definedName>
    <definedName name="Z_A5979620_2E2D_11D7_9ADB_00C1280223AE_.wvu.PrintTitles" hidden="1">#REF!</definedName>
    <definedName name="Z_A5AD5514_0AE6_4DD6_BC5D_13AF070A9AE9_.wvu.FilterData" hidden="1">#REF!</definedName>
    <definedName name="Z_A6168485_6886_4592_BB13_07B9E683E6FB_.wvu.Cols" hidden="1">#REF!</definedName>
    <definedName name="Z_A6168485_6886_4592_BB13_07B9E683E6FB_.wvu.FilterData" hidden="1">#REF!</definedName>
    <definedName name="Z_A6168485_6886_4592_BB13_07B9E683E6FB_.wvu.PrintArea" hidden="1">#REF!</definedName>
    <definedName name="Z_A6168485_6886_4592_BB13_07B9E683E6FB_.wvu.PrintTitles" hidden="1">#REF!</definedName>
    <definedName name="Z_A6168485_6886_4592_BB13_07B9E683E6FB_.wvu.Rows" hidden="1">#REF!</definedName>
    <definedName name="Z_A62E17FA_AF58_4725_A005_F86661C8C28E_.wvu.FilterData" hidden="1">#REF!</definedName>
    <definedName name="Z_A65D7309_1B90_4484_9B70_381766873689_.wvu.FilterData" hidden="1">#REF!</definedName>
    <definedName name="Z_A69F7B2A_985A_42E7_BE81_2EA25C3BF389_.wvu.FilterData" hidden="1">#REF!</definedName>
    <definedName name="Z_A6CBA599_DE29_45C0_BC22_AD4C31C6F596_.wvu.FilterData" hidden="1">#REF!</definedName>
    <definedName name="Z_A871C611_F34A_4E04_8409_EA18F31AAC90_.wvu.FilterData" hidden="1">#REF!</definedName>
    <definedName name="Z_A9FF1EAD_E7B8_4A8D_9232_4283389FA5DC_.wvu.Cols" hidden="1">#REF!</definedName>
    <definedName name="Z_A9FF1EAD_E7B8_4A8D_9232_4283389FA5DC_.wvu.PrintArea" hidden="1">#REF!</definedName>
    <definedName name="Z_A9FF1EAD_E7B8_4A8D_9232_4283389FA5DC_.wvu.PrintTitles" hidden="1">#REF!</definedName>
    <definedName name="Z_AAF8877A_429D_11D4_9117_00A024280731_.wvu.FilterData">#REF!</definedName>
    <definedName name="Z_AAF8877A_429D_11D4_9117_00A024280731_.wvu.PrintArea">#REF!</definedName>
    <definedName name="Z_AAF8877A_429D_11D4_9117_00A024280731_.wvu.PrintTitles">#REF!,#REF!</definedName>
    <definedName name="Z_AAF8877E_429D_11D4_9117_00A024280731_.wvu.FilterData">#REF!</definedName>
    <definedName name="Z_AAF8877E_429D_11D4_9117_00A024280731_.wvu.PrintArea">#REF!</definedName>
    <definedName name="Z_AAF8877E_429D_11D4_9117_00A024280731_.wvu.PrintTitles">#REF!,#REF!</definedName>
    <definedName name="Z_AB45FFAE_19AD_47F2_A68A_497CFA02F912_.wvu.Rows" localSheetId="2" hidden="1">#REF!</definedName>
    <definedName name="Z_AB45FFAE_19AD_47F2_A68A_497CFA02F912_.wvu.Rows" hidden="1">#REF!</definedName>
    <definedName name="Z_ABD846D3_DC98_46F9_9EA4_98CCB459D335_.wvu.FilterData" localSheetId="2" hidden="1">#REF!</definedName>
    <definedName name="Z_ABD846D3_DC98_46F9_9EA4_98CCB459D335_.wvu.FilterData" hidden="1">#REF!</definedName>
    <definedName name="Z_AD1AC268_B0C2_11D0_BBF1_0020AF29375F_.wvu.Cols" hidden="1">#NAME?</definedName>
    <definedName name="Z_AD1AC269_B0C2_11D0_BBF1_0020AF29375F_.wvu.Cols" hidden="1">#NAME?</definedName>
    <definedName name="Z_AD1AC26B_B0C2_11D0_BBF1_0020AF29375F_.wvu.Cols" hidden="1">#NAME?</definedName>
    <definedName name="Z_AD1AC26C_B0C2_11D0_BBF1_0020AF29375F_.wvu.Cols" hidden="1">#NAME?</definedName>
    <definedName name="Z_AD1AC26D_B0C2_11D0_BBF1_0020AF29375F_.wvu.Cols" hidden="1">#NAME?</definedName>
    <definedName name="Z_AD1AC26F_B0C2_11D0_BBF1_0020AF29375F_.wvu.Cols" localSheetId="2" hidden="1">#REF!</definedName>
    <definedName name="Z_AD1AC26F_B0C2_11D0_BBF1_0020AF29375F_.wvu.Cols" hidden="1">#REF!</definedName>
    <definedName name="Z_AD1AC270_B0C2_11D0_BBF1_0020AF29375F_.wvu.Cols" hidden="1">#NAME?</definedName>
    <definedName name="Z_AD1AC271_B0C2_11D0_BBF1_0020AF29375F_.wvu.Cols" hidden="1">#REF!</definedName>
    <definedName name="Z_AD1AC272_B0C2_11D0_BBF1_0020AF29375F_.wvu.Cols" hidden="1">#REF!</definedName>
    <definedName name="Z_AD1AC274_B0C2_11D0_BBF1_0020AF29375F_.wvu.Cols" hidden="1">#REF!</definedName>
    <definedName name="Z_AD1AC275_B0C2_11D0_BBF1_0020AF29375F_.wvu.Cols" hidden="1">#NAME?</definedName>
    <definedName name="Z_AD1AC276_B0C2_11D0_BBF1_0020AF29375F_.wvu.Cols" hidden="1">#REF!</definedName>
    <definedName name="Z_AD1AC277_B0C2_11D0_BBF1_0020AF29375F_.wvu.Cols" hidden="1">#NAME?</definedName>
    <definedName name="Z_AD1AC278_B0C2_11D0_BBF1_0020AF29375F_.wvu.Cols" hidden="1">#NAME?</definedName>
    <definedName name="Z_AD1AC279_B0C2_11D0_BBF1_0020AF29375F_.wvu.Cols" hidden="1">#NAME?</definedName>
    <definedName name="Z_AD1AC27A_B0C2_11D0_BBF1_0020AF29375F_.wvu.Cols" hidden="1">#NAME?</definedName>
    <definedName name="Z_AD1AC27B_B0C2_11D0_BBF1_0020AF29375F_.wvu.Cols" hidden="1">#NAME?</definedName>
    <definedName name="Z_AD1AC27C_B0C2_11D0_BBF1_0020AF29375F_.wvu.Cols" hidden="1">#NAME?</definedName>
    <definedName name="Z_AD1AC27D_B0C2_11D0_BBF1_0020AF29375F_.wvu.Cols" hidden="1">#NAME?</definedName>
    <definedName name="Z_AD1AC27E_B0C2_11D0_BBF1_0020AF29375F_.wvu.Cols" hidden="1">#NAME?</definedName>
    <definedName name="Z_AD1AC280_B0C2_11D0_BBF1_0020AF29375F_.wvu.Cols" hidden="1">#NAME?</definedName>
    <definedName name="Z_AD1AC281_B0C2_11D0_BBF1_0020AF29375F_.wvu.Cols" hidden="1">#NAME?</definedName>
    <definedName name="Z_AD1AC283_B0C2_11D0_BBF1_0020AF29375F_.wvu.Cols" hidden="1">#NAME?</definedName>
    <definedName name="Z_AD1AC284_B0C2_11D0_BBF1_0020AF29375F_.wvu.Cols" hidden="1">#NAME?</definedName>
    <definedName name="Z_AD1AC285_B0C2_11D0_BBF1_0020AF29375F_.wvu.Cols" hidden="1">#NAME?</definedName>
    <definedName name="Z_AD1AC286_B0C2_11D0_BBF1_0020AF29375F_.wvu.Cols" hidden="1">#NAME?</definedName>
    <definedName name="Z_AD1AC287_B0C2_11D0_BBF1_0020AF29375F_.wvu.Cols" hidden="1">#REF!</definedName>
    <definedName name="Z_AD1AC288_B0C2_11D0_BBF1_0020AF29375F_.wvu.Cols" hidden="1">#NAME?</definedName>
    <definedName name="Z_AD1AC289_B0C2_11D0_BBF1_0020AF29375F_.wvu.Cols" hidden="1">#REF!</definedName>
    <definedName name="Z_AD1AC28A_B0C2_11D0_BBF1_0020AF29375F_.wvu.Cols" hidden="1">#REF!</definedName>
    <definedName name="Z_AD1AC28B_B0C2_11D0_BBF1_0020AF29375F_.wvu.Cols" hidden="1">#NAME?</definedName>
    <definedName name="Z_AD1AC28C_B0C2_11D0_BBF1_0020AF29375F_.wvu.Cols" hidden="1">#REF!</definedName>
    <definedName name="Z_AD1AC28D_B0C2_11D0_BBF1_0020AF29375F_.wvu.Cols" hidden="1">#NAME?</definedName>
    <definedName name="Z_AD1AC28E_B0C2_11D0_BBF1_0020AF29375F_.wvu.Cols" hidden="1">#REF!</definedName>
    <definedName name="Z_AD1AC28F_B0C2_11D0_BBF1_0020AF29375F_.wvu.Cols" hidden="1">#NAME?</definedName>
    <definedName name="Z_AD1AC290_B0C2_11D0_BBF1_0020AF29375F_.wvu.Cols" hidden="1">#NAME?</definedName>
    <definedName name="Z_AD1AC291_B0C2_11D0_BBF1_0020AF29375F_.wvu.Cols" hidden="1">#NAME?</definedName>
    <definedName name="Z_AD1AC292_B0C2_11D0_BBF1_0020AF29375F_.wvu.Cols" hidden="1">#NAME?</definedName>
    <definedName name="Z_AD1AC293_B0C2_11D0_BBF1_0020AF29375F_.wvu.Cols" hidden="1">#NAME?</definedName>
    <definedName name="Z_AD1AC294_B0C2_11D0_BBF1_0020AF29375F_.wvu.Cols" hidden="1">#NAME?</definedName>
    <definedName name="Z_AD1AC295_B0C2_11D0_BBF1_0020AF29375F_.wvu.Cols" hidden="1">#NAME?</definedName>
    <definedName name="Z_AD1AC296_B0C2_11D0_BBF1_0020AF29375F_.wvu.Cols" hidden="1">#NAME?</definedName>
    <definedName name="Z_ADA92181_C3E4_11D5_A6F7_00508B6A7686_.wvu.Cols" hidden="1">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</definedName>
    <definedName name="Z_B2BF00E9_E26C_457D_BE07_94C481C4F595_.wvu.FilterData" hidden="1">#REF!</definedName>
    <definedName name="Z_B33581E6_D4DF_408A_A05E_38FCC62DFC2D_.wvu.FilterData" hidden="1">#REF!</definedName>
    <definedName name="Z_B3385E74_1CFF_42CF_8529_AB1F14732AF6_.wvu.FilterData" hidden="1">#REF!</definedName>
    <definedName name="Z_B6835B90_B916_11D7_87F9_00C12802081C_.wvu.FilterData" hidden="1">#REF!</definedName>
    <definedName name="Z_B6835B92_B916_11D7_87F9_00C12802081C_.wvu.FilterData" hidden="1">#REF!</definedName>
    <definedName name="Z_B6835B94_B916_11D7_87F9_00C12802081C_.wvu.FilterData" hidden="1">#REF!</definedName>
    <definedName name="Z_B6835B96_B916_11D7_87F9_00C12802081C_.wvu.FilterData" hidden="1">#REF!</definedName>
    <definedName name="Z_B6835BA1_B916_11D7_87F9_00C12802081C_.wvu.FilterData" hidden="1">#REF!</definedName>
    <definedName name="Z_B6835BA6_B916_11D7_87F9_00C12802081C_.wvu.FilterData" hidden="1">#REF!</definedName>
    <definedName name="Z_B6835BA8_B916_11D7_87F9_00C12802081C_.wvu.FilterData" hidden="1">#REF!</definedName>
    <definedName name="Z_B6B5295F_954F_4CA0_A09E_4D18B11CF370_.wvu.FilterData" hidden="1">#REF!</definedName>
    <definedName name="Z_B6EBA059_280B_4A6E_BA3E_AA849CF278A3_.wvu.PrintArea" hidden="1">#REF!</definedName>
    <definedName name="Z_B6EBA059_280B_4A6E_BA3E_AA849CF278A3_.wvu.Rows" hidden="1">#REF!</definedName>
    <definedName name="Z_B6FE0792_246A_4F64_8FBF_135117045851_.wvu.FilterData" hidden="1">#REF!</definedName>
    <definedName name="Z_B8CE9944_EB9A_4C2B_A585_0DBE5F71B81A_.wvu.FilterData" hidden="1">#REF!</definedName>
    <definedName name="Z_BE10728C_90F6_4FF2_9C36_EFE1D773D797_.wvu.FilterData" hidden="1">#REF!</definedName>
    <definedName name="Z_C0A6332D_F77B_11D0_B623_0020AF49B783_.wvu.Cols" hidden="1">#NAME?</definedName>
    <definedName name="Z_C0A6332E_F77B_11D0_B623_0020AF49B783_.wvu.Cols" hidden="1">#NAME?</definedName>
    <definedName name="Z_C0A63330_F77B_11D0_B623_0020AF49B783_.wvu.Cols" hidden="1">#NAME?</definedName>
    <definedName name="Z_C0A63331_F77B_11D0_B623_0020AF49B783_.wvu.Cols" hidden="1">#NAME?</definedName>
    <definedName name="Z_C0A63332_F77B_11D0_B623_0020AF49B783_.wvu.Cols" hidden="1">#NAME?</definedName>
    <definedName name="Z_C0A63334_F77B_11D0_B623_0020AF49B783_.wvu.Cols" hidden="1">#REF!</definedName>
    <definedName name="Z_C0A63335_F77B_11D0_B623_0020AF49B783_.wvu.Cols" hidden="1">#NAME?</definedName>
    <definedName name="Z_C0A63336_F77B_11D0_B623_0020AF49B783_.wvu.Cols" hidden="1">#REF!</definedName>
    <definedName name="Z_C0A63337_F77B_11D0_B623_0020AF49B783_.wvu.Cols" hidden="1">#REF!</definedName>
    <definedName name="Z_C0A63339_F77B_11D0_B623_0020AF49B783_.wvu.Cols" hidden="1">#REF!</definedName>
    <definedName name="Z_C0A6333A_F77B_11D0_B623_0020AF49B783_.wvu.Cols" hidden="1">#NAME?</definedName>
    <definedName name="Z_C0A6333B_F77B_11D0_B623_0020AF49B783_.wvu.Cols" hidden="1">#REF!</definedName>
    <definedName name="Z_C0A6333C_F77B_11D0_B623_0020AF49B783_.wvu.Cols" hidden="1">#NAME?</definedName>
    <definedName name="Z_C0A6333D_F77B_11D0_B623_0020AF49B783_.wvu.Cols" hidden="1">#NAME?</definedName>
    <definedName name="Z_C0A6333E_F77B_11D0_B623_0020AF49B783_.wvu.Cols" hidden="1">#NAME?</definedName>
    <definedName name="Z_C0A6333F_F77B_11D0_B623_0020AF49B783_.wvu.Cols" hidden="1">#NAME?</definedName>
    <definedName name="Z_C0A63340_F77B_11D0_B623_0020AF49B783_.wvu.Cols" hidden="1">#NAME?</definedName>
    <definedName name="Z_C0A63341_F77B_11D0_B623_0020AF49B783_.wvu.Cols" hidden="1">#NAME?</definedName>
    <definedName name="Z_C0A63342_F77B_11D0_B623_0020AF49B783_.wvu.Cols" hidden="1">#NAME?</definedName>
    <definedName name="Z_C0A63343_F77B_11D0_B623_0020AF49B783_.wvu.Cols" hidden="1">#NAME?</definedName>
    <definedName name="Z_C0A63345_F77B_11D0_B623_0020AF49B783_.wvu.Cols" hidden="1">#NAME?</definedName>
    <definedName name="Z_C0A63346_F77B_11D0_B623_0020AF49B783_.wvu.Cols" hidden="1">#NAME?</definedName>
    <definedName name="Z_C0A63348_F77B_11D0_B623_0020AF49B783_.wvu.Cols" hidden="1">#NAME?</definedName>
    <definedName name="Z_C0A63349_F77B_11D0_B623_0020AF49B783_.wvu.Cols" hidden="1">#NAME?</definedName>
    <definedName name="Z_C0A6334A_F77B_11D0_B623_0020AF49B783_.wvu.Cols" hidden="1">#NAME?</definedName>
    <definedName name="Z_C0A6334B_F77B_11D0_B623_0020AF49B783_.wvu.Cols" hidden="1">#NAME?</definedName>
    <definedName name="Z_C0A6334C_F77B_11D0_B623_0020AF49B783_.wvu.Cols" hidden="1">#REF!</definedName>
    <definedName name="Z_C0A6334D_F77B_11D0_B623_0020AF49B783_.wvu.Cols" hidden="1">#NAME?</definedName>
    <definedName name="Z_C0A6334E_F77B_11D0_B623_0020AF49B783_.wvu.Cols" hidden="1">#REF!</definedName>
    <definedName name="Z_C0A6334F_F77B_11D0_B623_0020AF49B783_.wvu.Cols" hidden="1">#REF!</definedName>
    <definedName name="Z_C0A63350_F77B_11D0_B623_0020AF49B783_.wvu.Cols" hidden="1">#NAME?</definedName>
    <definedName name="Z_C0A63351_F77B_11D0_B623_0020AF49B783_.wvu.Cols" hidden="1">#REF!</definedName>
    <definedName name="Z_C0A63352_F77B_11D0_B623_0020AF49B783_.wvu.Cols" hidden="1">#NAME?</definedName>
    <definedName name="Z_C0A63353_F77B_11D0_B623_0020AF49B783_.wvu.Cols" hidden="1">#REF!</definedName>
    <definedName name="Z_C0A63354_F77B_11D0_B623_0020AF49B783_.wvu.Cols" hidden="1">#NAME?</definedName>
    <definedName name="Z_C0A63355_F77B_11D0_B623_0020AF49B783_.wvu.Cols" hidden="1">#NAME?</definedName>
    <definedName name="Z_C0A63356_F77B_11D0_B623_0020AF49B783_.wvu.Cols" hidden="1">#NAME?</definedName>
    <definedName name="Z_C0A63357_F77B_11D0_B623_0020AF49B783_.wvu.Cols" hidden="1">#NAME?</definedName>
    <definedName name="Z_C0A63358_F77B_11D0_B623_0020AF49B783_.wvu.Cols" hidden="1">#NAME?</definedName>
    <definedName name="Z_C0A63359_F77B_11D0_B623_0020AF49B783_.wvu.Cols" hidden="1">#NAME?</definedName>
    <definedName name="Z_C0A6335A_F77B_11D0_B623_0020AF49B783_.wvu.Cols" hidden="1">#NAME?</definedName>
    <definedName name="Z_C0A6335B_F77B_11D0_B623_0020AF49B783_.wvu.Cols" hidden="1">#NAME?</definedName>
    <definedName name="Z_C37E65A7_9893_435E_9759_72E0D8A5DD87_.wvu.PrintTitles" hidden="1">#REF!</definedName>
    <definedName name="Z_C4CA7123_8BF8_4EFC_9738_A47086635A48_.wvu.FilterData" hidden="1">#REF!</definedName>
    <definedName name="Z_C56AD2ED_4739_4848_83C2_AA41BCB608F3_.wvu.FilterData" hidden="1">#REF!</definedName>
    <definedName name="Z_C8EF7DA4_2ED1_11D7_858E_00C026A77BFE_.wvu.FilterData" hidden="1">#REF!</definedName>
    <definedName name="Z_CB1D786D_F78D_11D0_B623_0020AF49B783_.wvu.Cols" hidden="1">#NAME?</definedName>
    <definedName name="Z_CB1D786E_F78D_11D0_B623_0020AF49B783_.wvu.Cols" hidden="1">#NAME?</definedName>
    <definedName name="Z_CB1D7870_F78D_11D0_B623_0020AF49B783_.wvu.Cols" hidden="1">#NAME?</definedName>
    <definedName name="Z_CB1D7871_F78D_11D0_B623_0020AF49B783_.wvu.Cols" hidden="1">#NAME?</definedName>
    <definedName name="Z_CB1D7872_F78D_11D0_B623_0020AF49B783_.wvu.Cols" hidden="1">#NAME?</definedName>
    <definedName name="Z_CB1D7874_F78D_11D0_B623_0020AF49B783_.wvu.Cols" hidden="1">#REF!</definedName>
    <definedName name="Z_CB1D7875_F78D_11D0_B623_0020AF49B783_.wvu.Cols" hidden="1">#NAME?</definedName>
    <definedName name="Z_CB1D7876_F78D_11D0_B623_0020AF49B783_.wvu.Cols" hidden="1">#REF!</definedName>
    <definedName name="Z_CB1D7877_F78D_11D0_B623_0020AF49B783_.wvu.Cols" hidden="1">#REF!</definedName>
    <definedName name="Z_CB1D7879_F78D_11D0_B623_0020AF49B783_.wvu.Cols" hidden="1">#REF!</definedName>
    <definedName name="Z_CB1D787A_F78D_11D0_B623_0020AF49B783_.wvu.Cols" hidden="1">#NAME?</definedName>
    <definedName name="Z_CB1D787B_F78D_11D0_B623_0020AF49B783_.wvu.Cols" hidden="1">#REF!</definedName>
    <definedName name="Z_CB1D787C_F78D_11D0_B623_0020AF49B783_.wvu.Cols" hidden="1">#NAME?</definedName>
    <definedName name="Z_CB1D787D_F78D_11D0_B623_0020AF49B783_.wvu.Cols" hidden="1">#NAME?</definedName>
    <definedName name="Z_CB1D787E_F78D_11D0_B623_0020AF49B783_.wvu.Cols" hidden="1">#NAME?</definedName>
    <definedName name="Z_CB1D787F_F78D_11D0_B623_0020AF49B783_.wvu.Cols" hidden="1">#NAME?</definedName>
    <definedName name="Z_CB1D7880_F78D_11D0_B623_0020AF49B783_.wvu.Cols" hidden="1">#NAME?</definedName>
    <definedName name="Z_CB1D7881_F78D_11D0_B623_0020AF49B783_.wvu.Cols" hidden="1">#NAME?</definedName>
    <definedName name="Z_CB1D7882_F78D_11D0_B623_0020AF49B783_.wvu.Cols" hidden="1">#NAME?</definedName>
    <definedName name="Z_CB1D7883_F78D_11D0_B623_0020AF49B783_.wvu.Cols" hidden="1">#NAME?</definedName>
    <definedName name="Z_CB1D7885_F78D_11D0_B623_0020AF49B783_.wvu.Cols" hidden="1">#NAME?</definedName>
    <definedName name="Z_CB1D7886_F78D_11D0_B623_0020AF49B783_.wvu.Cols" hidden="1">#NAME?</definedName>
    <definedName name="Z_CB1D7888_F78D_11D0_B623_0020AF49B783_.wvu.Cols" hidden="1">#NAME?</definedName>
    <definedName name="Z_CB1D7889_F78D_11D0_B623_0020AF49B783_.wvu.Cols" hidden="1">#NAME?</definedName>
    <definedName name="Z_CB1D788A_F78D_11D0_B623_0020AF49B783_.wvu.Cols" hidden="1">#NAME?</definedName>
    <definedName name="Z_CB1D788B_F78D_11D0_B623_0020AF49B783_.wvu.Cols" hidden="1">#NAME?</definedName>
    <definedName name="Z_CB1D788C_F78D_11D0_B623_0020AF49B783_.wvu.Cols" hidden="1">#REF!</definedName>
    <definedName name="Z_CB1D788D_F78D_11D0_B623_0020AF49B783_.wvu.Cols" hidden="1">#NAME?</definedName>
    <definedName name="Z_CB1D788E_F78D_11D0_B623_0020AF49B783_.wvu.Cols" hidden="1">#REF!</definedName>
    <definedName name="Z_CB1D788F_F78D_11D0_B623_0020AF49B783_.wvu.Cols" hidden="1">#REF!</definedName>
    <definedName name="Z_CB1D7890_F78D_11D0_B623_0020AF49B783_.wvu.Cols" hidden="1">#NAME?</definedName>
    <definedName name="Z_CB1D7891_F78D_11D0_B623_0020AF49B783_.wvu.Cols" hidden="1">#REF!</definedName>
    <definedName name="Z_CB1D7892_F78D_11D0_B623_0020AF49B783_.wvu.Cols" hidden="1">#NAME?</definedName>
    <definedName name="Z_CB1D7893_F78D_11D0_B623_0020AF49B783_.wvu.Cols" hidden="1">#REF!</definedName>
    <definedName name="Z_CB1D7894_F78D_11D0_B623_0020AF49B783_.wvu.Cols" hidden="1">#NAME?</definedName>
    <definedName name="Z_CB1D7895_F78D_11D0_B623_0020AF49B783_.wvu.Cols" hidden="1">#NAME?</definedName>
    <definedName name="Z_CB1D7896_F78D_11D0_B623_0020AF49B783_.wvu.Cols" hidden="1">#NAME?</definedName>
    <definedName name="Z_CB1D7897_F78D_11D0_B623_0020AF49B783_.wvu.Cols" hidden="1">#NAME?</definedName>
    <definedName name="Z_CB1D7898_F78D_11D0_B623_0020AF49B783_.wvu.Cols" hidden="1">#NAME?</definedName>
    <definedName name="Z_CB1D7899_F78D_11D0_B623_0020AF49B783_.wvu.Cols" hidden="1">#NAME?</definedName>
    <definedName name="Z_CB1D789A_F78D_11D0_B623_0020AF49B783_.wvu.Cols" hidden="1">#NAME?</definedName>
    <definedName name="Z_CB1D789B_F78D_11D0_B623_0020AF49B783_.wvu.Cols" hidden="1">#NAME?</definedName>
    <definedName name="Z_CB1D7A33_F78D_11D0_B623_0020AF49B783_.wvu.Cols" hidden="1">#NAME?</definedName>
    <definedName name="Z_CB1D7A34_F78D_11D0_B623_0020AF49B783_.wvu.Cols" hidden="1">#NAME?</definedName>
    <definedName name="Z_CB1D7A36_F78D_11D0_B623_0020AF49B783_.wvu.Cols" hidden="1">#NAME?</definedName>
    <definedName name="Z_CB1D7A37_F78D_11D0_B623_0020AF49B783_.wvu.Cols" hidden="1">#NAME?</definedName>
    <definedName name="Z_CB1D7A38_F78D_11D0_B623_0020AF49B783_.wvu.Cols" hidden="1">#NAME?</definedName>
    <definedName name="Z_CB1D7A3A_F78D_11D0_B623_0020AF49B783_.wvu.Cols" hidden="1">#REF!</definedName>
    <definedName name="Z_CB1D7A3B_F78D_11D0_B623_0020AF49B783_.wvu.Cols" hidden="1">#NAME?</definedName>
    <definedName name="Z_CB1D7A3C_F78D_11D0_B623_0020AF49B783_.wvu.Cols" hidden="1">#REF!</definedName>
    <definedName name="Z_CB1D7A3D_F78D_11D0_B623_0020AF49B783_.wvu.Cols" hidden="1">#REF!</definedName>
    <definedName name="Z_CB1D7A3F_F78D_11D0_B623_0020AF49B783_.wvu.Cols" hidden="1">#REF!</definedName>
    <definedName name="Z_CB1D7A40_F78D_11D0_B623_0020AF49B783_.wvu.Cols" hidden="1">#NAME?</definedName>
    <definedName name="Z_CB1D7A41_F78D_11D0_B623_0020AF49B783_.wvu.Cols" hidden="1">#REF!</definedName>
    <definedName name="Z_CB1D7A42_F78D_11D0_B623_0020AF49B783_.wvu.Cols" hidden="1">#NAME?</definedName>
    <definedName name="Z_CB1D7A43_F78D_11D0_B623_0020AF49B783_.wvu.Cols" hidden="1">#NAME?</definedName>
    <definedName name="Z_CB1D7A44_F78D_11D0_B623_0020AF49B783_.wvu.Cols" hidden="1">#NAME?</definedName>
    <definedName name="Z_CB1D7A45_F78D_11D0_B623_0020AF49B783_.wvu.Cols" hidden="1">#NAME?</definedName>
    <definedName name="Z_CB1D7A46_F78D_11D0_B623_0020AF49B783_.wvu.Cols" hidden="1">#NAME?</definedName>
    <definedName name="Z_CB1D7A47_F78D_11D0_B623_0020AF49B783_.wvu.Cols" hidden="1">#NAME?</definedName>
    <definedName name="Z_CB1D7A48_F78D_11D0_B623_0020AF49B783_.wvu.Cols" hidden="1">#NAME?</definedName>
    <definedName name="Z_CB1D7A49_F78D_11D0_B623_0020AF49B783_.wvu.Cols" hidden="1">#NAME?</definedName>
    <definedName name="Z_CB1D7A4B_F78D_11D0_B623_0020AF49B783_.wvu.Cols" hidden="1">#NAME?</definedName>
    <definedName name="Z_CB1D7A4C_F78D_11D0_B623_0020AF49B783_.wvu.Cols" hidden="1">#NAME?</definedName>
    <definedName name="Z_CB1D7A4E_F78D_11D0_B623_0020AF49B783_.wvu.Cols" hidden="1">#NAME?</definedName>
    <definedName name="Z_CB1D7A4F_F78D_11D0_B623_0020AF49B783_.wvu.Cols" hidden="1">#NAME?</definedName>
    <definedName name="Z_CB1D7A50_F78D_11D0_B623_0020AF49B783_.wvu.Cols" hidden="1">#NAME?</definedName>
    <definedName name="Z_CB1D7A51_F78D_11D0_B623_0020AF49B783_.wvu.Cols" hidden="1">#NAME?</definedName>
    <definedName name="Z_CB1D7A52_F78D_11D0_B623_0020AF49B783_.wvu.Cols" hidden="1">#REF!</definedName>
    <definedName name="Z_CB1D7A53_F78D_11D0_B623_0020AF49B783_.wvu.Cols" hidden="1">#NAME?</definedName>
    <definedName name="Z_CB1D7A54_F78D_11D0_B623_0020AF49B783_.wvu.Cols" hidden="1">#REF!</definedName>
    <definedName name="Z_CB1D7A55_F78D_11D0_B623_0020AF49B783_.wvu.Cols" hidden="1">#REF!</definedName>
    <definedName name="Z_CB1D7A56_F78D_11D0_B623_0020AF49B783_.wvu.Cols" hidden="1">#NAME?</definedName>
    <definedName name="Z_CB1D7A57_F78D_11D0_B623_0020AF49B783_.wvu.Cols" hidden="1">#REF!</definedName>
    <definedName name="Z_CB1D7A58_F78D_11D0_B623_0020AF49B783_.wvu.Cols" hidden="1">#NAME?</definedName>
    <definedName name="Z_CB1D7A59_F78D_11D0_B623_0020AF49B783_.wvu.Cols" hidden="1">#REF!</definedName>
    <definedName name="Z_CB1D7A5A_F78D_11D0_B623_0020AF49B783_.wvu.Cols" hidden="1">#NAME?</definedName>
    <definedName name="Z_CB1D7A5B_F78D_11D0_B623_0020AF49B783_.wvu.Cols" hidden="1">#NAME?</definedName>
    <definedName name="Z_CB1D7A5C_F78D_11D0_B623_0020AF49B783_.wvu.Cols" hidden="1">#NAME?</definedName>
    <definedName name="Z_CB1D7A5D_F78D_11D0_B623_0020AF49B783_.wvu.Cols" hidden="1">#NAME?</definedName>
    <definedName name="Z_CB1D7A5E_F78D_11D0_B623_0020AF49B783_.wvu.Cols" hidden="1">#NAME?</definedName>
    <definedName name="Z_CB1D7A5F_F78D_11D0_B623_0020AF49B783_.wvu.Cols" hidden="1">#NAME?</definedName>
    <definedName name="Z_CB1D7A60_F78D_11D0_B623_0020AF49B783_.wvu.Cols" hidden="1">#NAME?</definedName>
    <definedName name="Z_CB1D7A61_F78D_11D0_B623_0020AF49B783_.wvu.Cols" hidden="1">#NAME?</definedName>
    <definedName name="Z_CB5071F3_8144_461A_874E_F5117E9D2395_.wvu.PrintTitles" hidden="1">#REF!</definedName>
    <definedName name="Z_CB8A7D81_8A72_11D0_BBF1_0020AF29375F_.wvu.Cols" hidden="1">#NAME?</definedName>
    <definedName name="Z_CB8A7D82_8A72_11D0_BBF1_0020AF29375F_.wvu.Cols" hidden="1">#NAME?</definedName>
    <definedName name="Z_CB8A7D84_8A72_11D0_BBF1_0020AF29375F_.wvu.Cols" hidden="1">#NAME?</definedName>
    <definedName name="Z_CB8A7D85_8A72_11D0_BBF1_0020AF29375F_.wvu.Cols" hidden="1">#NAME?</definedName>
    <definedName name="Z_CB8A7D86_8A72_11D0_BBF1_0020AF29375F_.wvu.Cols" hidden="1">#NAME?</definedName>
    <definedName name="Z_CB8A7D88_8A72_11D0_BBF1_0020AF29375F_.wvu.Cols" hidden="1">#REF!</definedName>
    <definedName name="Z_CB8A7D89_8A72_11D0_BBF1_0020AF29375F_.wvu.Cols" hidden="1">#NAME?</definedName>
    <definedName name="Z_CB8A7D8A_8A72_11D0_BBF1_0020AF29375F_.wvu.Cols" hidden="1">#REF!</definedName>
    <definedName name="Z_CB8A7D8B_8A72_11D0_BBF1_0020AF29375F_.wvu.Cols" hidden="1">#REF!</definedName>
    <definedName name="Z_CB8A7D8D_8A72_11D0_BBF1_0020AF29375F_.wvu.Cols" hidden="1">#REF!</definedName>
    <definedName name="Z_CB8A7D8E_8A72_11D0_BBF1_0020AF29375F_.wvu.Cols" hidden="1">#NAME?</definedName>
    <definedName name="Z_CB8A7D8F_8A72_11D0_BBF1_0020AF29375F_.wvu.Cols" hidden="1">#REF!</definedName>
    <definedName name="Z_CB8A7D90_8A72_11D0_BBF1_0020AF29375F_.wvu.Cols" hidden="1">#NAME?</definedName>
    <definedName name="Z_CB8A7D91_8A72_11D0_BBF1_0020AF29375F_.wvu.Cols" hidden="1">#NAME?</definedName>
    <definedName name="Z_CB8A7D92_8A72_11D0_BBF1_0020AF29375F_.wvu.Cols" hidden="1">#NAME?</definedName>
    <definedName name="Z_CB8A7D93_8A72_11D0_BBF1_0020AF29375F_.wvu.Cols" hidden="1">#NAME?</definedName>
    <definedName name="Z_CB8A7D94_8A72_11D0_BBF1_0020AF29375F_.wvu.Cols" hidden="1">#NAME?</definedName>
    <definedName name="Z_CB8A7D95_8A72_11D0_BBF1_0020AF29375F_.wvu.Cols" hidden="1">#NAME?</definedName>
    <definedName name="Z_CB8A7D96_8A72_11D0_BBF1_0020AF29375F_.wvu.Cols" hidden="1">#NAME?</definedName>
    <definedName name="Z_CB8A7D97_8A72_11D0_BBF1_0020AF29375F_.wvu.Cols" hidden="1">#NAME?</definedName>
    <definedName name="Z_CB8A7D99_8A72_11D0_BBF1_0020AF29375F_.wvu.Cols" hidden="1">#NAME?</definedName>
    <definedName name="Z_CB8A7D9A_8A72_11D0_BBF1_0020AF29375F_.wvu.Cols" hidden="1">#NAME?</definedName>
    <definedName name="Z_CB8A7D9C_8A72_11D0_BBF1_0020AF29375F_.wvu.Cols" hidden="1">#NAME?</definedName>
    <definedName name="Z_CB8A7D9D_8A72_11D0_BBF1_0020AF29375F_.wvu.Cols" hidden="1">#NAME?</definedName>
    <definedName name="Z_CB8A7D9E_8A72_11D0_BBF1_0020AF29375F_.wvu.Cols" hidden="1">#NAME?</definedName>
    <definedName name="Z_CB8A7D9F_8A72_11D0_BBF1_0020AF29375F_.wvu.Cols" hidden="1">#NAME?</definedName>
    <definedName name="Z_CB8A7DA0_8A72_11D0_BBF1_0020AF29375F_.wvu.Cols" hidden="1">#REF!</definedName>
    <definedName name="Z_CB8A7DA1_8A72_11D0_BBF1_0020AF29375F_.wvu.Cols" hidden="1">#NAME?</definedName>
    <definedName name="Z_CB8A7DA2_8A72_11D0_BBF1_0020AF29375F_.wvu.Cols" hidden="1">#REF!</definedName>
    <definedName name="Z_CB8A7DA3_8A72_11D0_BBF1_0020AF29375F_.wvu.Cols" hidden="1">#REF!</definedName>
    <definedName name="Z_CB8A7DA4_8A72_11D0_BBF1_0020AF29375F_.wvu.Cols" hidden="1">#NAME?</definedName>
    <definedName name="Z_CB8A7DA5_8A72_11D0_BBF1_0020AF29375F_.wvu.Cols" hidden="1">#REF!</definedName>
    <definedName name="Z_CB8A7DA6_8A72_11D0_BBF1_0020AF29375F_.wvu.Cols" hidden="1">#NAME?</definedName>
    <definedName name="Z_CB8A7DA7_8A72_11D0_BBF1_0020AF29375F_.wvu.Cols" hidden="1">#REF!</definedName>
    <definedName name="Z_CB8A7DA8_8A72_11D0_BBF1_0020AF29375F_.wvu.Cols" hidden="1">#NAME?</definedName>
    <definedName name="Z_CB8A7DA9_8A72_11D0_BBF1_0020AF29375F_.wvu.Cols" hidden="1">#NAME?</definedName>
    <definedName name="Z_CB8A7DAA_8A72_11D0_BBF1_0020AF29375F_.wvu.Cols" hidden="1">#NAME?</definedName>
    <definedName name="Z_CB8A7DAB_8A72_11D0_BBF1_0020AF29375F_.wvu.Cols" hidden="1">#NAME?</definedName>
    <definedName name="Z_CB8A7DAC_8A72_11D0_BBF1_0020AF29375F_.wvu.Cols" hidden="1">#NAME?</definedName>
    <definedName name="Z_CB8A7DAD_8A72_11D0_BBF1_0020AF29375F_.wvu.Cols" hidden="1">#NAME?</definedName>
    <definedName name="Z_CB8A7DAE_8A72_11D0_BBF1_0020AF29375F_.wvu.Cols" hidden="1">#NAME?</definedName>
    <definedName name="Z_CB8A7DAF_8A72_11D0_BBF1_0020AF29375F_.wvu.Cols" hidden="1">#NAME?</definedName>
    <definedName name="Z_CC8FC623_624F_427A_A30D_B352B72069D5_.wvu.FilterData" hidden="1">#REF!</definedName>
    <definedName name="Z_CD460554_CB58_42EB_AE2C_2ED73DCC0235_.wvu.FilterData" hidden="1">#REF!</definedName>
    <definedName name="Z_CE71EC61_2D5D_11D7_858E_00C026A77BFE_.wvu.FilterData" hidden="1">#REF!</definedName>
    <definedName name="Z_D084116C_9A56_11D7_B81F_008048FBE32D_.wvu.Cols" hidden="1">#REF!</definedName>
    <definedName name="Z_D0FC81D9_872A_11D6_B808_0010DC239F6A_.wvu.Cols" hidden="1">#REF!</definedName>
    <definedName name="Z_D0FC81D9_872A_11D6_B808_0010DC239F6A_.wvu.FilterData" hidden="1">#REF!</definedName>
    <definedName name="Z_D0FC81D9_872A_11D6_B808_0010DC239F6A_.wvu.PrintArea" hidden="1">#REF!</definedName>
    <definedName name="Z_D0FC81D9_872A_11D6_B808_0010DC239F6A_.wvu.PrintTitles" hidden="1">#REF!</definedName>
    <definedName name="Z_D0FC81D9_872A_11D6_B808_0010DC239F6A_.wvu.Rows" hidden="1">#REF!</definedName>
    <definedName name="Z_D270E856_796F_4EB9_ACE7_BE2B67FDA991_.wvu.FilterData" hidden="1">#REF!</definedName>
    <definedName name="Z_D2C43505_8B21_11D0_BBF1_0020AF29375F_.wvu.Cols" hidden="1">#NAME?</definedName>
    <definedName name="Z_D2C43506_8B21_11D0_BBF1_0020AF29375F_.wvu.Cols" hidden="1">#NAME?</definedName>
    <definedName name="Z_D2C43508_8B21_11D0_BBF1_0020AF29375F_.wvu.Cols" hidden="1">#NAME?</definedName>
    <definedName name="Z_D2C43509_8B21_11D0_BBF1_0020AF29375F_.wvu.Cols" hidden="1">#NAME?</definedName>
    <definedName name="Z_D2C4350A_8B21_11D0_BBF1_0020AF29375F_.wvu.Cols" hidden="1">#NAME?</definedName>
    <definedName name="Z_D2C4350C_8B21_11D0_BBF1_0020AF29375F_.wvu.Cols" hidden="1">#REF!</definedName>
    <definedName name="Z_D2C4350D_8B21_11D0_BBF1_0020AF29375F_.wvu.Cols" hidden="1">#NAME?</definedName>
    <definedName name="Z_D2C4350E_8B21_11D0_BBF1_0020AF29375F_.wvu.Cols" hidden="1">#REF!</definedName>
    <definedName name="Z_D2C4350F_8B21_11D0_BBF1_0020AF29375F_.wvu.Cols" hidden="1">#REF!</definedName>
    <definedName name="Z_D2C43511_8B21_11D0_BBF1_0020AF29375F_.wvu.Cols" hidden="1">#REF!</definedName>
    <definedName name="Z_D2C43512_8B21_11D0_BBF1_0020AF29375F_.wvu.Cols" hidden="1">#NAME?</definedName>
    <definedName name="Z_D2C43513_8B21_11D0_BBF1_0020AF29375F_.wvu.Cols" hidden="1">#REF!</definedName>
    <definedName name="Z_D2C43514_8B21_11D0_BBF1_0020AF29375F_.wvu.Cols" hidden="1">#NAME?</definedName>
    <definedName name="Z_D2C43515_8B21_11D0_BBF1_0020AF29375F_.wvu.Cols" hidden="1">#NAME?</definedName>
    <definedName name="Z_D2C43516_8B21_11D0_BBF1_0020AF29375F_.wvu.Cols" hidden="1">#NAME?</definedName>
    <definedName name="Z_D2C43517_8B21_11D0_BBF1_0020AF29375F_.wvu.Cols" hidden="1">#NAME?</definedName>
    <definedName name="Z_D2C43518_8B21_11D0_BBF1_0020AF29375F_.wvu.Cols" hidden="1">#NAME?</definedName>
    <definedName name="Z_D2C43519_8B21_11D0_BBF1_0020AF29375F_.wvu.Cols" hidden="1">#NAME?</definedName>
    <definedName name="Z_D2C4351A_8B21_11D0_BBF1_0020AF29375F_.wvu.Cols" hidden="1">#NAME?</definedName>
    <definedName name="Z_D2C4351B_8B21_11D0_BBF1_0020AF29375F_.wvu.Cols" hidden="1">#NAME?</definedName>
    <definedName name="Z_D2C4351D_8B21_11D0_BBF1_0020AF29375F_.wvu.Cols" hidden="1">#NAME?</definedName>
    <definedName name="Z_D2C4351E_8B21_11D0_BBF1_0020AF29375F_.wvu.Cols" hidden="1">#NAME?</definedName>
    <definedName name="Z_D2C43520_8B21_11D0_BBF1_0020AF29375F_.wvu.Cols" hidden="1">#NAME?</definedName>
    <definedName name="Z_D2C43521_8B21_11D0_BBF1_0020AF29375F_.wvu.Cols" hidden="1">#NAME?</definedName>
    <definedName name="Z_D2C43522_8B21_11D0_BBF1_0020AF29375F_.wvu.Cols" hidden="1">#NAME?</definedName>
    <definedName name="Z_D2C43523_8B21_11D0_BBF1_0020AF29375F_.wvu.Cols" hidden="1">#NAME?</definedName>
    <definedName name="Z_D2C43524_8B21_11D0_BBF1_0020AF29375F_.wvu.Cols" hidden="1">#REF!</definedName>
    <definedName name="Z_D2C43525_8B21_11D0_BBF1_0020AF29375F_.wvu.Cols" hidden="1">#NAME?</definedName>
    <definedName name="Z_D2C43526_8B21_11D0_BBF1_0020AF29375F_.wvu.Cols" hidden="1">#REF!</definedName>
    <definedName name="Z_D2C43527_8B21_11D0_BBF1_0020AF29375F_.wvu.Cols" hidden="1">#REF!</definedName>
    <definedName name="Z_D2C43528_8B21_11D0_BBF1_0020AF29375F_.wvu.Cols" hidden="1">#NAME?</definedName>
    <definedName name="Z_D2C43529_8B21_11D0_BBF1_0020AF29375F_.wvu.Cols" hidden="1">#REF!</definedName>
    <definedName name="Z_D2C4352A_8B21_11D0_BBF1_0020AF29375F_.wvu.Cols" hidden="1">#NAME?</definedName>
    <definedName name="Z_D2C4352B_8B21_11D0_BBF1_0020AF29375F_.wvu.Cols" hidden="1">#REF!</definedName>
    <definedName name="Z_D2C4352C_8B21_11D0_BBF1_0020AF29375F_.wvu.Cols" hidden="1">#NAME?</definedName>
    <definedName name="Z_D2C4352D_8B21_11D0_BBF1_0020AF29375F_.wvu.Cols" hidden="1">#NAME?</definedName>
    <definedName name="Z_D2C4352E_8B21_11D0_BBF1_0020AF29375F_.wvu.Cols" hidden="1">#NAME?</definedName>
    <definedName name="Z_D2C4352F_8B21_11D0_BBF1_0020AF29375F_.wvu.Cols" hidden="1">#NAME?</definedName>
    <definedName name="Z_D2C43530_8B21_11D0_BBF1_0020AF29375F_.wvu.Cols" hidden="1">#NAME?</definedName>
    <definedName name="Z_D2C43531_8B21_11D0_BBF1_0020AF29375F_.wvu.Cols" hidden="1">#NAME?</definedName>
    <definedName name="Z_D2C43532_8B21_11D0_BBF1_0020AF29375F_.wvu.Cols" hidden="1">#NAME?</definedName>
    <definedName name="Z_D2C43533_8B21_11D0_BBF1_0020AF29375F_.wvu.Cols" hidden="1">#NAME?</definedName>
    <definedName name="Z_D357E525_B788_439D_957F_E192DC811B9B_.wvu.FilterData" hidden="1">#REF!</definedName>
    <definedName name="Z_D3A71505_464F_11D3_8BF2_00A0C9C769DF_.wvu.Cols">#REF!,#REF!,#REF!,#REF!</definedName>
    <definedName name="Z_D3A71505_464F_11D3_8BF2_00A0C9C769DF_.wvu.FilterData">#REF!</definedName>
    <definedName name="Z_D3A71505_464F_11D3_8BF2_00A0C9C769DF_.wvu.Rows">#REF!</definedName>
    <definedName name="Z_D41C309F_FAEB_48EF_831D_86BE7B7BBC6D_.wvu.FilterData" localSheetId="2" hidden="1">#REF!</definedName>
    <definedName name="Z_D41C309F_FAEB_48EF_831D_86BE7B7BBC6D_.wvu.FilterData" hidden="1">#REF!</definedName>
    <definedName name="Z_D4C309EB_2346_40F4_B241_DF9FE8A38DBB_.wvu.FilterData" localSheetId="2" hidden="1">#REF!</definedName>
    <definedName name="Z_D4C309EB_2346_40F4_B241_DF9FE8A38DBB_.wvu.FilterData" hidden="1">#REF!</definedName>
    <definedName name="Z_D4FBBAF2_ED2F_11D4_A6F7_00508B6540C5_.wvu.FilterData" hidden="1">#REF!</definedName>
    <definedName name="Z_D539FDDF_4F51_4EE8_BD0E_6701243023EB_.wvu.FilterData" hidden="1">#REF!</definedName>
    <definedName name="Z_D58FB965_0965_11D4_8A4A_006097BB52B9_.wvu.PrintTitles">#REF!,#REF!</definedName>
    <definedName name="Z_D58FB966_0965_11D4_8A4A_006097BB52B9_.wvu.PrintTitles">#REF!,#REF!</definedName>
    <definedName name="Z_D6EBAB3C_57C2_4D26_99DE_CCEBC1AC4FDC_.wvu.FilterData" localSheetId="2" hidden="1">#REF!</definedName>
    <definedName name="Z_D6EBAB3C_57C2_4D26_99DE_CCEBC1AC4FDC_.wvu.FilterData" hidden="1">#REF!</definedName>
    <definedName name="Z_D8235FD0_B98C_4D30_9BF6_AD349E20F9AB_.wvu.FilterData" localSheetId="2" hidden="1">#REF!</definedName>
    <definedName name="Z_D8235FD0_B98C_4D30_9BF6_AD349E20F9AB_.wvu.FilterData" hidden="1">#REF!</definedName>
    <definedName name="Z_D82E7941_804E_4C18_B0E5_5EFC0ADCE6FD_.wvu.FilterData" localSheetId="2" hidden="1">#REF!</definedName>
    <definedName name="Z_D82E7941_804E_4C18_B0E5_5EFC0ADCE6FD_.wvu.FilterData" hidden="1">#REF!</definedName>
    <definedName name="Z_D8684150_615B_48E4_A4AE_A8F63D9A2CA9_.wvu.FilterData" hidden="1">#REF!</definedName>
    <definedName name="Z_D94FA850_ED6D_4308_A35D_CFED0D3FEDCC_.wvu.FilterData" hidden="1">#REF!</definedName>
    <definedName name="Z_D9E68341_C2F0_11D5_A6F7_00508B6540C5_.wvu.Cols" hidden="1">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DA175FC8_D466_4E2E_8813_958831BED7E3_.wvu.FilterData" hidden="1">#REF!</definedName>
    <definedName name="Z_DA31B780_9025_11D7_9ADB_00C1280256B3_.wvu.FilterData" hidden="1">#REF!</definedName>
    <definedName name="Z_DC97D0BE_1F2B_4A34_998C_03637A5B99E2_.wvu.FilterData" hidden="1">#REF!</definedName>
    <definedName name="Z_DDC90023_9DE1_462A_8562_749321B57378_.wvu.FilterData" hidden="1">#REF!</definedName>
    <definedName name="Z_DE4B0881_4644_4269_A5F1_C884C6594D9B_.wvu.FilterData" hidden="1">#REF!</definedName>
    <definedName name="Z_DEC378FC_1E6A_4B8F_92C5_02C273AAEE4F_.wvu.FilterData" hidden="1">#REF!</definedName>
    <definedName name="Z_DF5C41DF_E0D7_11D0_BBF1_0020AF29375F_.wvu.Cols" hidden="1">#NAME?</definedName>
    <definedName name="Z_DF5C41E0_E0D7_11D0_BBF1_0020AF29375F_.wvu.Cols" hidden="1">#NAME?</definedName>
    <definedName name="Z_DF5C41E2_E0D7_11D0_BBF1_0020AF29375F_.wvu.Cols" hidden="1">#NAME?</definedName>
    <definedName name="Z_DF5C41E3_E0D7_11D0_BBF1_0020AF29375F_.wvu.Cols" hidden="1">#NAME?</definedName>
    <definedName name="Z_DF5C41E4_E0D7_11D0_BBF1_0020AF29375F_.wvu.Cols" hidden="1">#NAME?</definedName>
    <definedName name="Z_DF5C41E6_E0D7_11D0_BBF1_0020AF29375F_.wvu.Cols" hidden="1">#REF!</definedName>
    <definedName name="Z_DF5C41E7_E0D7_11D0_BBF1_0020AF29375F_.wvu.Cols" hidden="1">#NAME?</definedName>
    <definedName name="Z_DF5C41E8_E0D7_11D0_BBF1_0020AF29375F_.wvu.Cols" hidden="1">#REF!</definedName>
    <definedName name="Z_DF5C41E9_E0D7_11D0_BBF1_0020AF29375F_.wvu.Cols" hidden="1">#REF!</definedName>
    <definedName name="Z_DF5C41EB_E0D7_11D0_BBF1_0020AF29375F_.wvu.Cols" hidden="1">#REF!</definedName>
    <definedName name="Z_DF5C41EC_E0D7_11D0_BBF1_0020AF29375F_.wvu.Cols" hidden="1">#NAME?</definedName>
    <definedName name="Z_DF5C41ED_E0D7_11D0_BBF1_0020AF29375F_.wvu.Cols" hidden="1">#REF!</definedName>
    <definedName name="Z_DF5C41EE_E0D7_11D0_BBF1_0020AF29375F_.wvu.Cols" hidden="1">#NAME?</definedName>
    <definedName name="Z_DF5C41EF_E0D7_11D0_BBF1_0020AF29375F_.wvu.Cols" hidden="1">#NAME?</definedName>
    <definedName name="Z_DF5C41F0_E0D7_11D0_BBF1_0020AF29375F_.wvu.Cols" hidden="1">#NAME?</definedName>
    <definedName name="Z_DF5C41F1_E0D7_11D0_BBF1_0020AF29375F_.wvu.Cols" hidden="1">#NAME?</definedName>
    <definedName name="Z_DF5C41F2_E0D7_11D0_BBF1_0020AF29375F_.wvu.Cols" hidden="1">#NAME?</definedName>
    <definedName name="Z_DF5C41F3_E0D7_11D0_BBF1_0020AF29375F_.wvu.Cols" hidden="1">#NAME?</definedName>
    <definedName name="Z_DF5C41F4_E0D7_11D0_BBF1_0020AF29375F_.wvu.Cols" hidden="1">#NAME?</definedName>
    <definedName name="Z_DF5C41F5_E0D7_11D0_BBF1_0020AF29375F_.wvu.Cols" hidden="1">#NAME?</definedName>
    <definedName name="Z_DF5C41F7_E0D7_11D0_BBF1_0020AF29375F_.wvu.Cols" hidden="1">#NAME?</definedName>
    <definedName name="Z_DF5C41F8_E0D7_11D0_BBF1_0020AF29375F_.wvu.Cols" hidden="1">#NAME?</definedName>
    <definedName name="Z_DF5C41FA_E0D7_11D0_BBF1_0020AF29375F_.wvu.Cols" hidden="1">#NAME?</definedName>
    <definedName name="Z_DF5C41FB_E0D7_11D0_BBF1_0020AF29375F_.wvu.Cols" hidden="1">#NAME?</definedName>
    <definedName name="Z_DF5C41FC_E0D7_11D0_BBF1_0020AF29375F_.wvu.Cols" hidden="1">#NAME?</definedName>
    <definedName name="Z_DF5C41FD_E0D7_11D0_BBF1_0020AF29375F_.wvu.Cols" hidden="1">#NAME?</definedName>
    <definedName name="Z_DF5C41FE_E0D7_11D0_BBF1_0020AF29375F_.wvu.Cols" hidden="1">#REF!</definedName>
    <definedName name="Z_DF5C41FF_E0D7_11D0_BBF1_0020AF29375F_.wvu.Cols" hidden="1">#NAME?</definedName>
    <definedName name="Z_DF5C4200_E0D7_11D0_BBF1_0020AF29375F_.wvu.Cols" hidden="1">#REF!</definedName>
    <definedName name="Z_DF5C4201_E0D7_11D0_BBF1_0020AF29375F_.wvu.Cols" hidden="1">#REF!</definedName>
    <definedName name="Z_DF5C4202_E0D7_11D0_BBF1_0020AF29375F_.wvu.Cols" hidden="1">#NAME?</definedName>
    <definedName name="Z_DF5C4203_E0D7_11D0_BBF1_0020AF29375F_.wvu.Cols" hidden="1">#REF!</definedName>
    <definedName name="Z_DF5C4204_E0D7_11D0_BBF1_0020AF29375F_.wvu.Cols" hidden="1">#NAME?</definedName>
    <definedName name="Z_DF5C4205_E0D7_11D0_BBF1_0020AF29375F_.wvu.Cols" hidden="1">#REF!</definedName>
    <definedName name="Z_DF5C4206_E0D7_11D0_BBF1_0020AF29375F_.wvu.Cols" hidden="1">#NAME?</definedName>
    <definedName name="Z_DF5C4207_E0D7_11D0_BBF1_0020AF29375F_.wvu.Cols" hidden="1">#NAME?</definedName>
    <definedName name="Z_DF5C4208_E0D7_11D0_BBF1_0020AF29375F_.wvu.Cols" hidden="1">#NAME?</definedName>
    <definedName name="Z_DF5C4209_E0D7_11D0_BBF1_0020AF29375F_.wvu.Cols" hidden="1">#NAME?</definedName>
    <definedName name="Z_DF5C420A_E0D7_11D0_BBF1_0020AF29375F_.wvu.Cols" hidden="1">#NAME?</definedName>
    <definedName name="Z_DF5C420B_E0D7_11D0_BBF1_0020AF29375F_.wvu.Cols" hidden="1">#NAME?</definedName>
    <definedName name="Z_DF5C420C_E0D7_11D0_BBF1_0020AF29375F_.wvu.Cols" hidden="1">#NAME?</definedName>
    <definedName name="Z_DF5C420D_E0D7_11D0_BBF1_0020AF29375F_.wvu.Cols" hidden="1">#NAME?</definedName>
    <definedName name="Z_DF9ECF17_04DF_11D1_B623_0020AF49B783_.wvu.Cols" hidden="1">#NAME?</definedName>
    <definedName name="Z_DF9ECF18_04DF_11D1_B623_0020AF49B783_.wvu.Cols" hidden="1">#NAME?</definedName>
    <definedName name="Z_DF9ECF1A_04DF_11D1_B623_0020AF49B783_.wvu.Cols" hidden="1">#NAME?</definedName>
    <definedName name="Z_DF9ECF1B_04DF_11D1_B623_0020AF49B783_.wvu.Cols" hidden="1">#NAME?</definedName>
    <definedName name="Z_DF9ECF1C_04DF_11D1_B623_0020AF49B783_.wvu.Cols" hidden="1">#NAME?</definedName>
    <definedName name="Z_DF9ECF1E_04DF_11D1_B623_0020AF49B783_.wvu.Cols" hidden="1">#REF!</definedName>
    <definedName name="Z_DF9ECF1F_04DF_11D1_B623_0020AF49B783_.wvu.Cols" hidden="1">#NAME?</definedName>
    <definedName name="Z_DF9ECF20_04DF_11D1_B623_0020AF49B783_.wvu.Cols" hidden="1">#REF!</definedName>
    <definedName name="Z_DF9ECF21_04DF_11D1_B623_0020AF49B783_.wvu.Cols" hidden="1">#REF!</definedName>
    <definedName name="Z_DF9ECF23_04DF_11D1_B623_0020AF49B783_.wvu.Cols" hidden="1">#REF!</definedName>
    <definedName name="Z_DF9ECF24_04DF_11D1_B623_0020AF49B783_.wvu.Cols" hidden="1">#NAME?</definedName>
    <definedName name="Z_DF9ECF25_04DF_11D1_B623_0020AF49B783_.wvu.Cols" hidden="1">#REF!</definedName>
    <definedName name="Z_DF9ECF26_04DF_11D1_B623_0020AF49B783_.wvu.Cols" hidden="1">#NAME?</definedName>
    <definedName name="Z_DF9ECF27_04DF_11D1_B623_0020AF49B783_.wvu.Cols" hidden="1">#NAME?</definedName>
    <definedName name="Z_DF9ECF28_04DF_11D1_B623_0020AF49B783_.wvu.Cols" hidden="1">#NAME?</definedName>
    <definedName name="Z_DF9ECF29_04DF_11D1_B623_0020AF49B783_.wvu.Cols" hidden="1">#NAME?</definedName>
    <definedName name="Z_DF9ECF2A_04DF_11D1_B623_0020AF49B783_.wvu.Cols" hidden="1">#NAME?</definedName>
    <definedName name="Z_DF9ECF2B_04DF_11D1_B623_0020AF49B783_.wvu.Cols" hidden="1">#NAME?</definedName>
    <definedName name="Z_DF9ECF2C_04DF_11D1_B623_0020AF49B783_.wvu.Cols" hidden="1">#NAME?</definedName>
    <definedName name="Z_DF9ECF2D_04DF_11D1_B623_0020AF49B783_.wvu.Cols" hidden="1">#NAME?</definedName>
    <definedName name="Z_DF9ECF2F_04DF_11D1_B623_0020AF49B783_.wvu.Cols" hidden="1">#NAME?</definedName>
    <definedName name="Z_DF9ECF30_04DF_11D1_B623_0020AF49B783_.wvu.Cols" hidden="1">#NAME?</definedName>
    <definedName name="Z_DF9ECF32_04DF_11D1_B623_0020AF49B783_.wvu.Cols" hidden="1">#NAME?</definedName>
    <definedName name="Z_DF9ECF33_04DF_11D1_B623_0020AF49B783_.wvu.Cols" hidden="1">#NAME?</definedName>
    <definedName name="Z_DF9ECF34_04DF_11D1_B623_0020AF49B783_.wvu.Cols" hidden="1">#NAME?</definedName>
    <definedName name="Z_DF9ECF35_04DF_11D1_B623_0020AF49B783_.wvu.Cols" hidden="1">#NAME?</definedName>
    <definedName name="Z_DF9ECF36_04DF_11D1_B623_0020AF49B783_.wvu.Cols" hidden="1">#REF!</definedName>
    <definedName name="Z_DF9ECF37_04DF_11D1_B623_0020AF49B783_.wvu.Cols" hidden="1">#NAME?</definedName>
    <definedName name="Z_DF9ECF38_04DF_11D1_B623_0020AF49B783_.wvu.Cols" hidden="1">#REF!</definedName>
    <definedName name="Z_DF9ECF39_04DF_11D1_B623_0020AF49B783_.wvu.Cols" hidden="1">#REF!</definedName>
    <definedName name="Z_DF9ECF3A_04DF_11D1_B623_0020AF49B783_.wvu.Cols" hidden="1">#NAME?</definedName>
    <definedName name="Z_DF9ECF3B_04DF_11D1_B623_0020AF49B783_.wvu.Cols" hidden="1">#REF!</definedName>
    <definedName name="Z_DF9ECF3C_04DF_11D1_B623_0020AF49B783_.wvu.Cols" hidden="1">#NAME?</definedName>
    <definedName name="Z_DF9ECF3D_04DF_11D1_B623_0020AF49B783_.wvu.Cols" hidden="1">#REF!</definedName>
    <definedName name="Z_DF9ECF3E_04DF_11D1_B623_0020AF49B783_.wvu.Cols" hidden="1">#NAME?</definedName>
    <definedName name="Z_DF9ECF3F_04DF_11D1_B623_0020AF49B783_.wvu.Cols" hidden="1">#NAME?</definedName>
    <definedName name="Z_DF9ECF40_04DF_11D1_B623_0020AF49B783_.wvu.Cols" hidden="1">#NAME?</definedName>
    <definedName name="Z_DF9ECF41_04DF_11D1_B623_0020AF49B783_.wvu.Cols" hidden="1">#NAME?</definedName>
    <definedName name="Z_DF9ECF42_04DF_11D1_B623_0020AF49B783_.wvu.Cols" hidden="1">#NAME?</definedName>
    <definedName name="Z_DF9ECF43_04DF_11D1_B623_0020AF49B783_.wvu.Cols" hidden="1">#NAME?</definedName>
    <definedName name="Z_DF9ECF44_04DF_11D1_B623_0020AF49B783_.wvu.Cols" hidden="1">#NAME?</definedName>
    <definedName name="Z_DF9ECF45_04DF_11D1_B623_0020AF49B783_.wvu.Cols" hidden="1">#NAME?</definedName>
    <definedName name="Z_E0DEA02C_49F2_493A_B2F7_48B9A853D016_.wvu.FilterData" hidden="1">#REF!</definedName>
    <definedName name="Z_E1195E20_2D62_11D7_858E_00C026A77BFE_.wvu.FilterData" hidden="1">#REF!</definedName>
    <definedName name="Z_E284CA21_C3B1_11D7_BE07_00C1280256B3_.wvu.PrintTitles" hidden="1">#REF!</definedName>
    <definedName name="Z_E349E6D9_7A35_4B56_B42F_8338DE45C160_.wvu.PrintTitles" hidden="1">#REF!</definedName>
    <definedName name="Z_E3DB78BC_F847_4E0A_8AF3_61B1B9D963F4_.wvu.Cols" hidden="1">#REF!</definedName>
    <definedName name="Z_E3DB78BC_F847_4E0A_8AF3_61B1B9D963F4_.wvu.PrintArea" hidden="1">#REF!</definedName>
    <definedName name="Z_E3DB78BC_F847_4E0A_8AF3_61B1B9D963F4_.wvu.PrintTitles" hidden="1">#REF!</definedName>
    <definedName name="Z_E5501061_AD96_11D4_8017_0050042B95CA_.wvu.Rows" hidden="1">#REF!</definedName>
    <definedName name="Z_E998397C_5CC7_4E43_9A51_B164AC80E898_.wvu.FilterData" hidden="1">#REF!</definedName>
    <definedName name="Z_EA74E2D5_07C9_421D_B355_4732796A8C01_.wvu.FilterData" hidden="1">#REF!</definedName>
    <definedName name="Z_EC1F1EC4_9239_4F1E_BA4D_38FE5FE90154_.wvu.FilterData" hidden="1">#REF!</definedName>
    <definedName name="Z_ECC910B3_16A2_11D4_8468_00A024EB33FF_.wvu.Cols">#REF!,#REF!,#REF!,#REF!,#REF!,#REF!,#REF!,#REF!,#REF!,#REF!,#REF!</definedName>
    <definedName name="Z_ECC910B3_16A2_11D4_8468_00A024EB33FF_.wvu.FilterData">#REF!</definedName>
    <definedName name="Z_ECC910B3_16A2_11D4_8468_00A024EB33FF_.wvu.PrintArea">#REF!</definedName>
    <definedName name="Z_ECC910B3_16A2_11D4_8468_00A024EB33FF_.wvu.PrintTitles">#REF!,#REF!</definedName>
    <definedName name="Z_ED4582CE_5F67_4C30_A1E4_E623C3F883C6_.wvu.Cols" localSheetId="2" hidden="1">#REF!</definedName>
    <definedName name="Z_ED4582CE_5F67_4C30_A1E4_E623C3F883C6_.wvu.Cols" hidden="1">#REF!</definedName>
    <definedName name="Z_ED4582CE_5F67_4C30_A1E4_E623C3F883C6_.wvu.PrintArea" localSheetId="2" hidden="1">#REF!</definedName>
    <definedName name="Z_ED4582CE_5F67_4C30_A1E4_E623C3F883C6_.wvu.PrintArea" hidden="1">#REF!</definedName>
    <definedName name="Z_ED710499_40F0_4A95_8EB7_D1498638DE1B_.wvu.FilterData" localSheetId="2" hidden="1">#REF!</definedName>
    <definedName name="Z_ED710499_40F0_4A95_8EB7_D1498638DE1B_.wvu.FilterData" hidden="1">#REF!</definedName>
    <definedName name="Z_EDC8E1A7_AEE3_48B2_9F6B_6661B9B91DEC_.wvu.FilterData" hidden="1">#REF!</definedName>
    <definedName name="Z_EE1657CF_7FA3_4B60_A664_7C107DBAC747_.wvu.FilterData" hidden="1">#REF!</definedName>
    <definedName name="Z_EF1E7DFD_44E8_4C7F_A5DF_87FE3C2E313B_.wvu.FilterData" hidden="1">#REF!</definedName>
    <definedName name="Z_EF68B346_09EA_443B_A0EE_AC8930C4C9F3_.wvu.FilterData" hidden="1">#REF!</definedName>
    <definedName name="Z_F0998BA1_97FB_4CF7_B1AF_901E951A4E58_.wvu.FilterData" hidden="1">#REF!</definedName>
    <definedName name="Z_F0D14D4C_1B42_4E34_B9C4_A9ED85DE2D28_.wvu.FilterData" hidden="1">#REF!</definedName>
    <definedName name="Z_F1DB62C1_EB88_408F_B8A7_7A9F90819540_.wvu.Rows" hidden="1">#REF!</definedName>
    <definedName name="Z_F4E1D20C_248C_4E5B_AB3E_3F5285EFA386_.wvu.FilterData" hidden="1">#REF!</definedName>
    <definedName name="Z_F81B8E41_2EB6_11D7_858E_00C026A77BFE_.wvu.FilterData" hidden="1">#REF!</definedName>
    <definedName name="Z_FA0D2A17_1C02_11D8_848D_00021BF19BDB_.wvu.FilterData" hidden="1">#REF!</definedName>
    <definedName name="Z_FC049302_2C6B_11D7_AE61_0000B43DBF1A_.wvu.PrintTitles" hidden="1">#REF!</definedName>
    <definedName name="Z_FD304898_1E80_4ADF_A5CA_ADD83E72FFE2_.wvu.PrintTitles" hidden="1">#REF!</definedName>
    <definedName name="Z_FD304898_1E80_4ADF_A5CA_ADD83E72FFE2_.wvu.Rows" hidden="1">#NAME?</definedName>
    <definedName name="Z_FD8350CA_9D94_4162_A8AD_C9451A80A6F4_.wvu.FilterData" hidden="1">#REF!</definedName>
    <definedName name="Z_FE37EC85_783C_4815_9F7A_51E451811F1B_.wvu.Cols" hidden="1">#REF!</definedName>
    <definedName name="Z_FE37EC85_783C_4815_9F7A_51E451811F1B_.wvu.FilterData" hidden="1">#REF!</definedName>
    <definedName name="Z_FE37EC85_783C_4815_9F7A_51E451811F1B_.wvu.PrintArea" hidden="1">#REF!</definedName>
    <definedName name="Z_FE37EC85_783C_4815_9F7A_51E451811F1B_.wvu.Rows" hidden="1">#REF!</definedName>
    <definedName name="Zapolnenie">#REF!</definedName>
    <definedName name="zeljka" localSheetId="2" hidden="1">{"det (May)",#N/A,FALSE,"June";"sum (MAY YTD)",#N/A,FALSE,"June YTD"}</definedName>
    <definedName name="zeljka">#REF!</definedName>
    <definedName name="zeljka1" localSheetId="2" hidden="1">{"det (May)",#N/A,FALSE,"June";"sum (MAY YTD)",#N/A,FALSE,"June YTD"}</definedName>
    <definedName name="zeljka1">#REF!</definedName>
    <definedName name="zeljka2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>#REF!</definedName>
    <definedName name="zeljka3" localSheetId="2" hidden="1">{"det (May)",#N/A,FALSE,"June";"sum (MAY YTD)",#N/A,FALSE,"June YTD"}</definedName>
    <definedName name="zeljka3">#REF!</definedName>
    <definedName name="zgxsd" localSheetId="2" hidden="1">{#N/A,#N/A,FALSE,"т02бд"}</definedName>
    <definedName name="zgxsd" hidden="1">{#N/A,#N/A,FALSE,"т02бд"}</definedName>
    <definedName name="zhguz" localSheetId="2" hidden="1">{"DCF","UPSIDE CASE",FALSE,"Sheet1";"DCF","BASE CASE",FALSE,"Sheet1";"DCF","DOWNSIDE CASE",FALSE,"Sheet1"}</definedName>
    <definedName name="zhguz" hidden="1">{"DCF","UPSIDE CASE",FALSE,"Sheet1";"DCF","BASE CASE",FALSE,"Sheet1";"DCF","DOWNSIDE CASE",FALSE,"Sheet1"}</definedName>
    <definedName name="Zivk" hidden="1">#REF!</definedName>
    <definedName name="zsd" localSheetId="2" hidden="1">{#N/A,#N/A,FALSE,"Aging Summary";#N/A,#N/A,FALSE,"Ratio Analysis";#N/A,#N/A,FALSE,"Test 120 Day Accts";#N/A,#N/A,FALSE,"Tickmarks"}</definedName>
    <definedName name="zsd" hidden="1">{#N/A,#N/A,FALSE,"Aging Summary";#N/A,#N/A,FALSE,"Ratio Analysis";#N/A,#N/A,FALSE,"Test 120 Day Accts";#N/A,#N/A,FALSE,"Tickmarks"}</definedName>
    <definedName name="zxcv" hidden="1">#REF!</definedName>
    <definedName name="zxz" localSheetId="2" hidden="1">{#N/A,#N/A,FALSE,"т02бд"}</definedName>
    <definedName name="zxz" hidden="1">{#N/A,#N/A,FALSE,"т02бд"}</definedName>
    <definedName name="ZZ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zz" localSheetId="2" hidden="1">{"FCF",#N/A,FALSE,"Results"}</definedName>
    <definedName name="zzz" hidden="1">{"FCF",#N/A,FALSE,"Results"}</definedName>
    <definedName name="zzzz" localSheetId="2" hidden="1">{#N/A,#N/A,FALSE,"magsep2";#N/A,#N/A,FALSE,"¾"" X ½""";#N/A,#N/A,FALSE,"½"" X ¼""";#N/A,#N/A,FALSE,"¼"" X 8 Mesh";#N/A,#N/A,FALSE,"8 X 14 Mesh"}</definedName>
    <definedName name="zzzz" hidden="1">{#N/A,#N/A,FALSE,"magsep2";#N/A,#N/A,FALSE,"¾"" X ½""";#N/A,#N/A,FALSE,"½"" X ¼""";#N/A,#N/A,FALSE,"¼"" X 8 Mesh";#N/A,#N/A,FALSE,"8 X 14 Mesh"}</definedName>
    <definedName name="а">#REF!</definedName>
    <definedName name="а2" localSheetId="2" hidden="1">{"'Sheet1'!$A$1:$G$96","'Sheet1'!$A$1:$H$96"}</definedName>
    <definedName name="а2" hidden="1">{"'Sheet1'!$A$1:$G$96","'Sheet1'!$A$1:$H$96"}</definedName>
    <definedName name="а3" localSheetId="2" hidden="1">{#N/A,#N/A,TRUE,"Буржуям"}</definedName>
    <definedName name="а3" hidden="1">{#N/A,#N/A,TRUE,"Буржуям"}</definedName>
    <definedName name="аа" localSheetId="2" hidden="1">{"Valuation_Common",#N/A,FALSE,"Valuation"}</definedName>
    <definedName name="аа" hidden="1">{"Valuation_Common",#N/A,FALSE,"Valuation"}</definedName>
    <definedName name="АА_Дата">#REF!</definedName>
    <definedName name="АА_Код_ДДС">#REF!</definedName>
    <definedName name="АА_Получатель_ДС">#REF!</definedName>
    <definedName name="АА_Сумма__руб.">#REF!</definedName>
    <definedName name="ааа" localSheetId="2" hidden="1">{#N/A,#N/A,FALSE,"Aging Summary";#N/A,#N/A,FALSE,"Ratio Analysis";#N/A,#N/A,FALSE,"Test 120 Day Accts";#N/A,#N/A,FALSE,"Tickmarks"}</definedName>
    <definedName name="ааа" hidden="1">{#N/A,#N/A,FALSE,"Aging Summary";#N/A,#N/A,FALSE,"Ratio Analysis";#N/A,#N/A,FALSE,"Test 120 Day Accts";#N/A,#N/A,FALSE,"Tickmarks"}</definedName>
    <definedName name="ааа1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ааа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аааа" localSheetId="2" hidden="1">{#VALUE!,#N/A,TRUE,0}</definedName>
    <definedName name="аааа" hidden="1">{#VALUE!,#N/A,TRUE,0}</definedName>
    <definedName name="аааа2" localSheetId="2" hidden="1">{#N/A,#N/A,TRUE,"Буржуям"}</definedName>
    <definedName name="аааа2" hidden="1">{#N/A,#N/A,TRUE,"Буржуям"}</definedName>
    <definedName name="ааааа" hidden="1">#REF!</definedName>
    <definedName name="ааааа2" localSheetId="2" hidden="1">{#N/A,#N/A,TRUE,"Буржуям"}</definedName>
    <definedName name="ааааа2" hidden="1">{#N/A,#N/A,TRUE,"Буржуям"}</definedName>
    <definedName name="ааааааа" localSheetId="2" hidden="1">{#N/A,#N/A,TRUE,"Буржуям"}</definedName>
    <definedName name="ааааааа" hidden="1">{#N/A,#N/A,TRUE,"Буржуям"}</definedName>
    <definedName name="ААААААААААА" localSheetId="2" hidden="1">{#N/A,#N/A,TRUE,"Буржуям"}</definedName>
    <definedName name="ААААААААААА" hidden="1">{#N/A,#N/A,TRUE,"Буржуям"}</definedName>
    <definedName name="аааааааааааааааааааааааааааааааа" localSheetId="2" hidden="1">{"баланс",#N/A,TRUE,"Баланс  на  декабрь"}</definedName>
    <definedName name="аааааааааааааааааааааааааааааааа" hidden="1">{"баланс",#N/A,TRUE,"Баланс  на  декабрь"}</definedName>
    <definedName name="ааааааааааааааааааааааааааааааааааааааааааааааааааааа" localSheetId="2" hidden="1">{"баланс",#N/A,TRUE,"Баланс  на  декабрь"}</definedName>
    <definedName name="ааааааааааааааааааааааааааааааааааааааааааааааааааааа" hidden="1">{"баланс",#N/A,TRUE,"Баланс  на  декабрь"}</definedName>
    <definedName name="АААВВВ" localSheetId="2" hidden="1">{#N/A,#N/A,TRUE,"Буржуям"}</definedName>
    <definedName name="АААВВВ" hidden="1">{#N/A,#N/A,TRUE,"Буржуям"}</definedName>
    <definedName name="ааппп" localSheetId="2" hidden="1">{"Valuation_Common",#N/A,FALSE,"Valuation"}</definedName>
    <definedName name="ааппп" hidden="1">{"Valuation_Common",#N/A,FALSE,"Valuation"}</definedName>
    <definedName name="ав">#REF!,#REF!,#REF!,#REF!,#REF!,#REF!,#REF!,#REF!,#REF!,#REF!,#REF!,#REF!,#REF!</definedName>
    <definedName name="АВАТ">#REF!</definedName>
    <definedName name="АВВАВАВАВА" localSheetId="2" hidden="1">{#N/A,#N/A,TRUE,"Буржуям"}</definedName>
    <definedName name="АВВАВАВАВА" hidden="1">{#N/A,#N/A,TRUE,"Буржуям"}</definedName>
    <definedName name="аввв" localSheetId="2" hidden="1">{"баланс",#N/A,TRUE,"Баланс  на  декабрь"}</definedName>
    <definedName name="аввв" hidden="1">{"баланс",#N/A,TRUE,"Баланс  на  декабрь"}</definedName>
    <definedName name="аввы">#REF!</definedName>
    <definedName name="август" localSheetId="2" hidden="1">{"баланс",#N/A,TRUE,"Баланс  на  декабрь"}</definedName>
    <definedName name="август" hidden="1">{"баланс",#N/A,TRUE,"Баланс  на  декабрь"}</definedName>
    <definedName name="авепо" localSheetId="2" hidden="1">{"Valuation_Common",#N/A,FALSE,"Valuation"}</definedName>
    <definedName name="авепо" hidden="1">{"Valuation_Common",#N/A,FALSE,"Valuation"}</definedName>
    <definedName name="авлполвамролва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авлполвамролва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авп">#REF!</definedName>
    <definedName name="авпа">#REF!,#REF!,#REF!,#REF!,#REF!,#REF!,#REF!,#REF!,#REF!,#REF!,#REF!,#REF!</definedName>
    <definedName name="авпавпа" localSheetId="2" hidden="1">{"'РП (2)'!$A$5:$S$150"}</definedName>
    <definedName name="авпавпа" hidden="1">{"'РП (2)'!$A$5:$S$150"}</definedName>
    <definedName name="АВПУКЦН">#REF!</definedName>
    <definedName name="аврравы" hidden="1">#REF!</definedName>
    <definedName name="аврриав" hidden="1">#NAME?</definedName>
    <definedName name="АВС_Дата">#REF!</definedName>
    <definedName name="АВС_Код_ДДС">#REF!</definedName>
    <definedName name="АВС_плюс_Дата">#REF!</definedName>
    <definedName name="АВС_плюс_код_ДДС">#REF!</definedName>
    <definedName name="АВС_плюс_Получатель_ДС">#REF!</definedName>
    <definedName name="АВС_плюс_Сумма__руб.">#REF!</definedName>
    <definedName name="АВС_Получатель_ДС">#REF!</definedName>
    <definedName name="АВС_сервис_Дата">#REF!</definedName>
    <definedName name="АВС_сервис_Код_ДДС">#REF!</definedName>
    <definedName name="АВС_сервис_Получатель_ДС">#REF!</definedName>
    <definedName name="АВС_сервис_Сумма__руб.">#REF!</definedName>
    <definedName name="АВС_Сумма__руб.">#REF!</definedName>
    <definedName name="АВТ_Дата">#REF!</definedName>
    <definedName name="АВТ_Код_ДДС">#REF!</definedName>
    <definedName name="АВТ_Сумма__руб.">#REF!</definedName>
    <definedName name="авыав" localSheetId="2" hidden="1">{"Страница 1",#N/A,FALSE,"Модель Интенсивника";"Страница 3",#N/A,FALSE,"Модель Интенсивника"}</definedName>
    <definedName name="авыав" hidden="1">{"Страница 1",#N/A,FALSE,"Модель Интенсивника";"Страница 3",#N/A,FALSE,"Модель Интенсивника"}</definedName>
    <definedName name="авыаф" localSheetId="2" hidden="1">{"баланс",#N/A,TRUE,"Баланс  на  декабрь"}</definedName>
    <definedName name="авыаф" hidden="1">{"баланс",#N/A,TRUE,"Баланс  на  декабрь"}</definedName>
    <definedName name="авып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вып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вырар" hidden="1">#NAME?</definedName>
    <definedName name="АВЫФ" localSheetId="2" hidden="1">{"glc1",#N/A,FALSE,"GLC";"glc2",#N/A,FALSE,"GLC";"glc3",#N/A,FALSE,"GLC";"glc4",#N/A,FALSE,"GLC";"glc5",#N/A,FALSE,"GLC"}</definedName>
    <definedName name="АВЫФ" hidden="1">{"glc1",#N/A,FALSE,"GLC";"glc2",#N/A,FALSE,"GLC";"glc3",#N/A,FALSE,"GLC";"glc4",#N/A,FALSE,"GLC";"glc5",#N/A,FALSE,"GLC"}</definedName>
    <definedName name="агнл" localSheetId="2" hidden="1">{"баланс",#N/A,TRUE,"Баланс  на  декабрь"}</definedName>
    <definedName name="агнл" hidden="1">{"баланс",#N/A,TRUE,"Баланс  на  декабрь"}</definedName>
    <definedName name="ада" localSheetId="2" hidden="1">{"print95",#N/A,FALSE,"1995E.XLS";"print96",#N/A,FALSE,"1996E.XLS"}</definedName>
    <definedName name="ада" hidden="1">{"print95",#N/A,FALSE,"1995E.XLS";"print96",#N/A,FALSE,"1996E.XLS"}</definedName>
    <definedName name="Адрес" localSheetId="2">OFFSET(#REF!,MATCH(#REF!,#REF!,0)-1,2,COUNTIF(#REF!,#REF!),1)</definedName>
    <definedName name="Адрес">OFFSET(#REF!,MATCH(#REF!,#REF!,0)-1,2,COUNTIF(#REF!,#REF!),1)</definedName>
    <definedName name="аервно" localSheetId="2" hidden="1">{"баланс",#N/A,TRUE,"Баланс  на  декабрь"}</definedName>
    <definedName name="аервно" hidden="1">{"баланс",#N/A,TRUE,"Баланс  на  декабрь"}</definedName>
    <definedName name="акор" localSheetId="2" hidden="1">{"баланс",#N/A,TRUE,"Баланс  на  декабрь"}</definedName>
    <definedName name="акор" hidden="1">{"баланс",#N/A,TRUE,"Баланс  на  декабрь"}</definedName>
    <definedName name="АКПАВ">#REF!</definedName>
    <definedName name="Активы" localSheetId="2" hidden="1">{"balance sheet",#N/A,FALSE,"balance sheet";#N/A,#N/A,FALSE,"income stmt (YTD)";"income stmt",#N/A,FALSE,"income stmt ";"cash flow YTD",#N/A,FALSE,"cash flow (YTD)";"cash flow",#N/A,FALSE,"cash flow "}</definedName>
    <definedName name="Активы" hidden="1">{"balance sheet",#N/A,FALSE,"balance sheet";#N/A,#N/A,FALSE,"income stmt (YTD)";"income stmt",#N/A,FALSE,"income stmt ";"cash flow YTD",#N/A,FALSE,"cash flow (YTD)";"cash flow",#N/A,FALSE,"cash flow "}</definedName>
    <definedName name="АктивыРезерв_расход">#REF!</definedName>
    <definedName name="Акцент_дата">#REF!</definedName>
    <definedName name="Акцент_Код_ДДС">#REF!</definedName>
    <definedName name="Акцент_получатель_ДС">#REF!</definedName>
    <definedName name="Акцент_сумма">#REF!</definedName>
    <definedName name="АкцСервис_Дата">#REF!</definedName>
    <definedName name="АкцСервис_Код_ДДС">#REF!</definedName>
    <definedName name="АкцСервис_Получатель_ДС">#REF!</definedName>
    <definedName name="АкцСервис_Сумма__руб.">#REF!</definedName>
    <definedName name="АКЫУКУ">#REF!,#REF!</definedName>
    <definedName name="амеба" localSheetId="2" hidden="1">{"баланс",#N/A,TRUE,"Баланс  на  декабрь"}</definedName>
    <definedName name="амеба" hidden="1">{"баланс",#N/A,TRUE,"Баланс  на  декабрь"}</definedName>
    <definedName name="АМЗ" localSheetId="2" hidden="1">{#VALUE!,#N/A,TRUE,0}</definedName>
    <definedName name="АМЗ" hidden="1">{#VALUE!,#N/A,TRUE,0}</definedName>
    <definedName name="ампп">#REF!</definedName>
    <definedName name="ан" localSheetId="2" hidden="1">{#N/A,#N/A,FALSE,"1996";#N/A,#N/A,FALSE,"1995";#N/A,#N/A,FALSE,"1994"}</definedName>
    <definedName name="ан" hidden="1">{#N/A,#N/A,FALSE,"1996";#N/A,#N/A,FALSE,"1995";#N/A,#N/A,FALSE,"1994"}</definedName>
    <definedName name="анализ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нализ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">#REF!</definedName>
    <definedName name="апав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апав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АПАПАПА" localSheetId="2" hidden="1">{#N/A,#N/A,TRUE,"Буржуям"}</definedName>
    <definedName name="АПАПАПА" hidden="1">{#N/A,#N/A,TRUE,"Буржуям"}</definedName>
    <definedName name="АПАПАПАП" localSheetId="2" hidden="1">{#N/A,#N/A,TRUE,"Буржуям"}</definedName>
    <definedName name="АПАПАПАП" hidden="1">{#N/A,#N/A,TRUE,"Буржуям"}</definedName>
    <definedName name="апврар" hidden="1">#NAME?</definedName>
    <definedName name="апер" localSheetId="2" hidden="1">{"'Sheet1'!$A$1:$G$96","'Sheet1'!$A$1:$H$96"}</definedName>
    <definedName name="апер" hidden="1">{"'Sheet1'!$A$1:$G$96","'Sheet1'!$A$1:$H$96"}</definedName>
    <definedName name="апп" localSheetId="2" hidden="1">{#N/A,#N/A,TRUE,"Буржуям"}</definedName>
    <definedName name="апп" hidden="1">{#N/A,#N/A,TRUE,"Буржуям"}</definedName>
    <definedName name="аппрр" localSheetId="2" hidden="1">{"Valuation_Common",#N/A,FALSE,"Valuation"}</definedName>
    <definedName name="аппрр" hidden="1">{"Valuation_Common",#N/A,FALSE,"Valuation"}</definedName>
    <definedName name="апр">{#N/A,#N/A,FALSE,"Лист15"}</definedName>
    <definedName name="апрель1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рель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рол">#REF!</definedName>
    <definedName name="апролджываол" localSheetId="2" hidden="1">{"баланс",#N/A,TRUE,"Баланс  на  декабрь"}</definedName>
    <definedName name="апролджываол" hidden="1">{"баланс",#N/A,TRUE,"Баланс  на  декабрь"}</definedName>
    <definedName name="апрр" localSheetId="2" hidden="1">{"PRINTME",#N/A,FALSE,"FINAL-10"}</definedName>
    <definedName name="апрр" hidden="1">{"PRINTME",#N/A,FALSE,"FINAL-10"}</definedName>
    <definedName name="АПФУ">#REF!</definedName>
    <definedName name="апыми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пым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ара">{#N/A,#N/A,FALSE,"Лист15"}</definedName>
    <definedName name="арав" localSheetId="2" hidden="1">{#N/A,#N/A,FALSE,"Год 99."}</definedName>
    <definedName name="арав" hidden="1">{#N/A,#N/A,FALSE,"Год 99."}</definedName>
    <definedName name="арвавравр" hidden="1">#NAME?</definedName>
    <definedName name="арго">#REF!</definedName>
    <definedName name="Арго_Дата">#REF!</definedName>
    <definedName name="Арго_Код_ДДС">#REF!</definedName>
    <definedName name="Арго_Получатель_ДС">#REF!</definedName>
    <definedName name="Арго_Сумма__руб.">#REF!</definedName>
    <definedName name="арпа">#REF!</definedName>
    <definedName name="аррррр" localSheetId="2" hidden="1">#REF!</definedName>
    <definedName name="аррррр" hidden="1">#REF!</definedName>
    <definedName name="артнрн" localSheetId="2" hidden="1">{"баланс",#N/A,TRUE,"Баланс  на  декабрь"}</definedName>
    <definedName name="артнрн" hidden="1">{"баланс",#N/A,TRUE,"Баланс  на  декабрь"}</definedName>
    <definedName name="АУВУЦАУЦ">#REF!</definedName>
    <definedName name="аукяыу">#REF!,#REF!,#REF!,#REF!,#REF!,#REF!,#REF!,#REF!,#REF!,#REF!,#REF!,#REF!,#REF!</definedName>
    <definedName name="аыаы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аыаы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б" localSheetId="2" hidden="1">{"'Sheet1'!$A$1:$G$96","'Sheet1'!$A$1:$H$96"}</definedName>
    <definedName name="б" hidden="1">{"'Sheet1'!$A$1:$G$96","'Sheet1'!$A$1:$H$96"}</definedName>
    <definedName name="б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б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xlnm.Database" localSheetId="2">#REF!</definedName>
    <definedName name="_xlnm.Database">#REF!</definedName>
    <definedName name="База_Департамент">#REF!</definedName>
    <definedName name="База_Компания">#REF!</definedName>
    <definedName name="База_Коэффициент">#REF!</definedName>
    <definedName name="БазовыеТарифы">#NAME?</definedName>
    <definedName name="базовый">#REF!</definedName>
    <definedName name="базовый0103">#REF!</definedName>
    <definedName name="базовый11.01">#REF!</definedName>
    <definedName name="бал" localSheetId="2" hidden="1">{#N/A,#N/A,FALSE,"magsep2";#N/A,#N/A,FALSE,"¾"" X ½""";#N/A,#N/A,FALSE,"½"" X ¼""";#N/A,#N/A,FALSE,"¼"" X 8 Mesh";#N/A,#N/A,FALSE,"8 X 14 Mesh"}</definedName>
    <definedName name="бал" hidden="1">{#N/A,#N/A,FALSE,"magsep2";#N/A,#N/A,FALSE,"¾"" X ½""";#N/A,#N/A,FALSE,"½"" X ¼""";#N/A,#N/A,FALSE,"¼"" X 8 Mesh";#N/A,#N/A,FALSE,"8 X 14 Mesh"}</definedName>
    <definedName name="Бал2002" localSheetId="2" hidden="1">{#N/A,#N/A,TRUE,"Буржуям"}</definedName>
    <definedName name="Бал2002" hidden="1">{#N/A,#N/A,TRUE,"Буржуям"}</definedName>
    <definedName name="баланс1" localSheetId="2" hidden="1">{#N/A,#N/A,FALSE,"magsep2";#N/A,#N/A,FALSE,"¾"" X ½""";#N/A,#N/A,FALSE,"½"" X ¼""";#N/A,#N/A,FALSE,"¼"" X 8 Mesh";#N/A,#N/A,FALSE,"8 X 14 Mesh"}</definedName>
    <definedName name="баланс1" hidden="1">{#N/A,#N/A,FALSE,"magsep2";#N/A,#N/A,FALSE,"¾"" X ½""";#N/A,#N/A,FALSE,"½"" X ¼""";#N/A,#N/A,FALSE,"¼"" X 8 Mesh";#N/A,#N/A,FALSE,"8 X 14 Mesh"}</definedName>
    <definedName name="Баланс2002" localSheetId="2" hidden="1">{#VALUE!,#N/A,TRUE,0}</definedName>
    <definedName name="Баланс2002" hidden="1">{#VALUE!,#N/A,TRUE,0}</definedName>
    <definedName name="баланс7" localSheetId="2" hidden="1">{#N/A,#N/A,FALSE,"magsep2";#N/A,#N/A,FALSE,"¾"" X ½""";#N/A,#N/A,FALSE,"½"" X ¼""";#N/A,#N/A,FALSE,"¼"" X 8 Mesh";#N/A,#N/A,FALSE,"8 X 14 Mesh"}</definedName>
    <definedName name="баланс7" hidden="1">{#N/A,#N/A,FALSE,"magsep2";#N/A,#N/A,FALSE,"¾"" X ½""";#N/A,#N/A,FALSE,"½"" X ¼""";#N/A,#N/A,FALSE,"¼"" X 8 Mesh";#N/A,#N/A,FALSE,"8 X 14 Mesh"}</definedName>
    <definedName name="Балансодержатель">#NAME?</definedName>
    <definedName name="бар" localSheetId="2" hidden="1">{#N/A,#N/A,TRUE,"Буржуям"}</definedName>
    <definedName name="бар" hidden="1">{#N/A,#N/A,TRUE,"Буржуям"}</definedName>
    <definedName name="ббб" localSheetId="2" hidden="1">{#N/A,#N/A,TRUE,"Буржуям"}</definedName>
    <definedName name="ббб" hidden="1">{#N/A,#N/A,TRUE,"Буржуям"}</definedName>
    <definedName name="бббб" localSheetId="2">#REF!</definedName>
    <definedName name="бббб" hidden="1">{#VALUE!,#N/A,TRUE,0}</definedName>
    <definedName name="бвытавьбыт">#REF!</definedName>
    <definedName name="бдолпи" localSheetId="2" hidden="1">{"'РП (2)'!$A$5:$S$150"}</definedName>
    <definedName name="бдолпи" hidden="1">{"'РП (2)'!$A$5:$S$150"}</definedName>
    <definedName name="бдр" localSheetId="2" hidden="1">{"'РП (2)'!$A$5:$S$150"}</definedName>
    <definedName name="бдр" hidden="1">{"'РП (2)'!$A$5:$S$150"}</definedName>
    <definedName name="БДР_ГК_НКС" hidden="1">#REF!</definedName>
    <definedName name="бдс_завод" localSheetId="2" hidden="1">{"'РП (2)'!$A$5:$S$150"}</definedName>
    <definedName name="бдс_завод" hidden="1">{"'РП (2)'!$A$5:$S$150"}</definedName>
    <definedName name="Белый_ветер___Wwind___Details" localSheetId="2">#REF!</definedName>
    <definedName name="Белый_ветер___Wwind___Details">#REF!</definedName>
    <definedName name="Блок">#REF!</definedName>
    <definedName name="бори">{#N/A,#N/A,FALSE,"Лист15"}</definedName>
    <definedName name="борт" localSheetId="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2" localSheetId="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ренд1" localSheetId="2">#REF!</definedName>
    <definedName name="Бренд1">#REF!</definedName>
    <definedName name="бртрвпауфц4" localSheetId="2" hidden="1">{"'РП (2)'!$A$5:$S$150"}</definedName>
    <definedName name="бртрвпауфц4" hidden="1">{"'РП (2)'!$A$5:$S$150"}</definedName>
    <definedName name="бь" localSheetId="2" hidden="1">{#N/A,#N/A,FALSE,"Год 99."}</definedName>
    <definedName name="бь" hidden="1">{#N/A,#N/A,FALSE,"Год 99."}</definedName>
    <definedName name="бьвтабьы">#REF!</definedName>
    <definedName name="бьвыаьбвы">#REF!</definedName>
    <definedName name="бьтаыьбуица">#REF!</definedName>
    <definedName name="БЬТИ" localSheetId="2" hidden="1">{"glc1",#N/A,FALSE,"GLC";"glc2",#N/A,FALSE,"GLC";"glc3",#N/A,FALSE,"GLC";"glc4",#N/A,FALSE,"GLC";"glc5",#N/A,FALSE,"GLC"}</definedName>
    <definedName name="БЬТИ" hidden="1">{"glc1",#N/A,FALSE,"GLC";"glc2",#N/A,FALSE,"GLC";"glc3",#N/A,FALSE,"GLC";"glc4",#N/A,FALSE,"GLC";"glc5",#N/A,FALSE,"GLC"}</definedName>
    <definedName name="бьтимсч" localSheetId="2" hidden="1">{"'РП (2)'!$A$5:$S$150"}</definedName>
    <definedName name="бьтимсч" hidden="1">{"'РП (2)'!$A$5:$S$150"}</definedName>
    <definedName name="бьторп" localSheetId="2" hidden="1">{"'РП (2)'!$A$5:$S$150"}</definedName>
    <definedName name="бьторп" hidden="1">{"'РП (2)'!$A$5:$S$150"}</definedName>
    <definedName name="бюд" localSheetId="2" hidden="1">{#N/A,#N/A,TRUE,"Буржуям"}</definedName>
    <definedName name="бюд" hidden="1">{#N/A,#N/A,TRUE,"Буржуям"}</definedName>
    <definedName name="бюджет" localSheetId="2" hidden="1">{"'РП (2)'!$A$5:$S$150"}</definedName>
    <definedName name="бюджет" hidden="1">{"'РП (2)'!$A$5:$S$150"}</definedName>
    <definedName name="бяк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бяк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">#REF!,#REF!,#REF!,#REF!,#REF!,#REF!,#REF!,#REF!,#REF!,#REF!,#REF!,#REF!,#REF!</definedName>
    <definedName name="в10" localSheetId="2">#REF!</definedName>
    <definedName name="в10">#REF!</definedName>
    <definedName name="в2" localSheetId="2" hidden="1">{"'Sheet1'!$A$1:$G$96","'Sheet1'!$A$1:$H$96"}</definedName>
    <definedName name="в2" hidden="1">{"'Sheet1'!$A$1:$G$96","'Sheet1'!$A$1:$H$96"}</definedName>
    <definedName name="ва" localSheetId="2" hidden="1">{"'Sheet1'!$A$1:$G$96","'Sheet1'!$A$1:$H$96"}</definedName>
    <definedName name="ва" hidden="1">{"'Sheet1'!$A$1:$G$96","'Sheet1'!$A$1:$H$96"}</definedName>
    <definedName name="ваааррррррв" hidden="1">#REF!</definedName>
    <definedName name="ВАВАВА" localSheetId="2" hidden="1">{#N/A,#N/A,TRUE,"Буржуям"}</definedName>
    <definedName name="ВАВАВА" hidden="1">{#N/A,#N/A,TRUE,"Буржуям"}</definedName>
    <definedName name="вававав" localSheetId="2" hidden="1">{#N/A,#N/A,FALSE,"т02бд"}</definedName>
    <definedName name="вававав" hidden="1">{#N/A,#N/A,FALSE,"т02бд"}</definedName>
    <definedName name="вАктивПрочие1_ставка" localSheetId="2">#REF!</definedName>
    <definedName name="вАктивПрочие1_ставка">#REF!</definedName>
    <definedName name="вАктивПрочие2_ставка" localSheetId="2">#REF!</definedName>
    <definedName name="вАктивПрочие2_ставка">#REF!</definedName>
    <definedName name="вАктивПрочие3_ставка" localSheetId="2">#REF!</definedName>
    <definedName name="вАктивПрочие3_ставка">#REF!</definedName>
    <definedName name="вАктивы_Нетто_объем">#REF!</definedName>
    <definedName name="вАмортизацияИн">#REF!</definedName>
    <definedName name="вАмортизацияНац">#REF!</definedName>
    <definedName name="вап" localSheetId="2" hidden="1">{"баланс",#N/A,TRUE,"Баланс  на  декабрь"}</definedName>
    <definedName name="вап" hidden="1">{"баланс",#N/A,TRUE,"Баланс  на  декабрь"}</definedName>
    <definedName name="вап3" localSheetId="2" hidden="1">{"'Sheet1'!$A$1:$G$96","'Sheet1'!$A$1:$H$96"}</definedName>
    <definedName name="вап3" hidden="1">{"'Sheet1'!$A$1:$G$96","'Sheet1'!$A$1:$H$96"}</definedName>
    <definedName name="вапвапва" localSheetId="2" hidden="1">{"'РП (2)'!$A$5:$S$150"}</definedName>
    <definedName name="вапвапва" hidden="1">{"'РП (2)'!$A$5:$S$150"}</definedName>
    <definedName name="вапзы" localSheetId="2" hidden="1">{0,0}</definedName>
    <definedName name="вапзы" hidden="1">{0,0}</definedName>
    <definedName name="вапке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пк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пр" hidden="1">#REF!</definedName>
    <definedName name="вар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раравр" hidden="1">#NAME?</definedName>
    <definedName name="вароор" hidden="1">#REF!</definedName>
    <definedName name="варп" hidden="1">#NAME?</definedName>
    <definedName name="варрвар" hidden="1">#NAME?</definedName>
    <definedName name="варррапрр" hidden="1">#NAME?</definedName>
    <definedName name="варрррравр" hidden="1">#REF!</definedName>
    <definedName name="вас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аф" localSheetId="2" hidden="1">{"'РП (2)'!$A$5:$S$150"}</definedName>
    <definedName name="ваф" hidden="1">{"'РП (2)'!$A$5:$S$150"}</definedName>
    <definedName name="ВАФВПА">#REF!</definedName>
    <definedName name="вАХРИн">#REF!</definedName>
    <definedName name="вАХРНац">#REF!</definedName>
    <definedName name="вАХРсметаИн">#REF!</definedName>
    <definedName name="вАХРсметаНац">#REF!</definedName>
    <definedName name="ваыВА">#REF!</definedName>
    <definedName name="вв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а" localSheetId="2" hidden="1">{"баланс",#N/A,TRUE,"Баланс  на  декабрь"}</definedName>
    <definedName name="вва" hidden="1">{"баланс",#N/A,TRUE,"Баланс  на  декабрь"}</definedName>
    <definedName name="ВВАКУЦ">#REF!</definedName>
    <definedName name="вваыв">#REF!</definedName>
    <definedName name="ввв">#N/A</definedName>
    <definedName name="вввв" localSheetId="2" hidden="1">{#N/A,#N/A,TRUE,"Буржуям"}</definedName>
    <definedName name="вввв" hidden="1">{#N/A,#N/A,TRUE,"Буржуям"}</definedName>
    <definedName name="ввввв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вв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вввввв" hidden="1">#REF!</definedName>
    <definedName name="вввввввв" localSheetId="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п" localSheetId="2" hidden="1">{"konoplin - Личное представление",#N/A,TRUE,"ФинПлан_1кв";"konoplin - Личное представление",#N/A,TRUE,"ФинПлан_2кв"}</definedName>
    <definedName name="ввп" hidden="1">{"konoplin - Личное представление",#N/A,TRUE,"ФинПлан_1кв";"konoplin - Личное представление",#N/A,TRUE,"ФинПлан_2кв"}</definedName>
    <definedName name="ВВЫЫ" localSheetId="2" hidden="1">{#N/A,#N/A,TRUE,"Буржуям"}</definedName>
    <definedName name="ВВЫЫ" hidden="1">{#N/A,#N/A,TRUE,"Буржуям"}</definedName>
    <definedName name="вгв" localSheetId="2" hidden="1">{#VALUE!,#N/A,TRUE,0}</definedName>
    <definedName name="вгв" hidden="1">{#VALUE!,#N/A,TRUE,0}</definedName>
    <definedName name="вДепозЮр_ставка" localSheetId="2">#REF!</definedName>
    <definedName name="вДепозЮр_ставка">#REF!</definedName>
    <definedName name="вДокапитализация_объем" localSheetId="2">#REF!</definedName>
    <definedName name="вДокапитализация_объем">#REF!</definedName>
    <definedName name="вег" localSheetId="2" hidden="1">{#N/A,#N/A,TRUE,"Буржуям"}</definedName>
    <definedName name="вег" hidden="1">{#N/A,#N/A,TRUE,"Буржуям"}</definedName>
    <definedName name="венгвг" localSheetId="2" hidden="1">{#N/A,#N/A,TRUE,"Буржуям"}</definedName>
    <definedName name="венгвг" hidden="1">{#N/A,#N/A,TRUE,"Буржуям"}</definedName>
    <definedName name="Веста_Дата">#REF!</definedName>
    <definedName name="Веста_Код_ДДС">#REF!</definedName>
    <definedName name="Веста_Получатель_ДС">#REF!</definedName>
    <definedName name="Веста_Сумма__руб.">#REF!</definedName>
    <definedName name="ВидыОСАГО">#NAME?</definedName>
    <definedName name="вИнвЦБ_объем" localSheetId="2">#REF!</definedName>
    <definedName name="вИнвЦБ_объем">#REF!</definedName>
    <definedName name="вИнвЦБ_ставка" localSheetId="2">#REF!</definedName>
    <definedName name="вИнвЦБ_ставка">#REF!</definedName>
    <definedName name="вИтогоНепроцДоход" localSheetId="2">#REF!</definedName>
    <definedName name="вИтогоНепроцДоход">#REF!</definedName>
    <definedName name="вИтогоНепроцДоходДоРезервов">#REF!</definedName>
    <definedName name="виыва" localSheetId="2" hidden="1">{#VALUE!,#N/A,TRUE,0}</definedName>
    <definedName name="виыва" hidden="1">{#VALUE!,#N/A,TRUE,0}</definedName>
    <definedName name="вКДНекред10Ин" localSheetId="2">#REF!</definedName>
    <definedName name="вКДНекред10Ин">#REF!</definedName>
    <definedName name="вКДНекред10Нац" localSheetId="2">#REF!</definedName>
    <definedName name="вКДНекред10Нац">#REF!</definedName>
    <definedName name="вКДНекред11Ин" localSheetId="2">#REF!</definedName>
    <definedName name="вКДНекред11Ин">#REF!</definedName>
    <definedName name="вКДНекред11Нац">#REF!</definedName>
    <definedName name="вКДНекред12Ин">#REF!</definedName>
    <definedName name="вКДНекред12Нац">#REF!</definedName>
    <definedName name="вКДНекред13Ин">#REF!</definedName>
    <definedName name="вКДНекред13Нац">#REF!</definedName>
    <definedName name="вКДНекред14Ин">#REF!</definedName>
    <definedName name="вКДНекред14Нац">#REF!</definedName>
    <definedName name="вКДНекред15Ин">#REF!</definedName>
    <definedName name="вКДНекред15Нац">#REF!</definedName>
    <definedName name="вКДНекред1Ин">#REF!</definedName>
    <definedName name="вКДНекред1Нац">#REF!</definedName>
    <definedName name="вКДНекред2Ин">#REF!</definedName>
    <definedName name="вКДНекред2Нац">#REF!</definedName>
    <definedName name="вКДНекред3Ин">#REF!</definedName>
    <definedName name="вКДНекред3Нац">#REF!</definedName>
    <definedName name="вКДНекред4Ин">#REF!</definedName>
    <definedName name="вКДНекред4Нац">#REF!</definedName>
    <definedName name="вКДНекред5Ин">#REF!</definedName>
    <definedName name="вКДНекред5Нац">#REF!</definedName>
    <definedName name="вКДНекред6Ин">#REF!</definedName>
    <definedName name="вКДНекред6Нац">#REF!</definedName>
    <definedName name="вКДНекред7Нац">#REF!</definedName>
    <definedName name="вКДНекред8Ин">#REF!</definedName>
    <definedName name="вКДНекред8Нац">#REF!</definedName>
    <definedName name="вКДНекред9Ин">#REF!</definedName>
    <definedName name="вКДНекред9Нац">#REF!</definedName>
    <definedName name="вкен" localSheetId="2" hidden="1">{"'РП (2)'!$A$5:$S$150"}</definedName>
    <definedName name="вкен" hidden="1">{"'РП (2)'!$A$5:$S$150"}</definedName>
    <definedName name="вКомДоходКредитныеФЛИн">#REF!</definedName>
    <definedName name="вКомДоходКредитныеФЛНац">#REF!</definedName>
    <definedName name="вКомДоходКредитныеЮЛИн">#REF!</definedName>
    <definedName name="вКомДоходКредитныеЮЛНац">#REF!</definedName>
    <definedName name="вКР1Ин">#REF!</definedName>
    <definedName name="вКР1Нац">#REF!</definedName>
    <definedName name="вКР2Ин">#REF!</definedName>
    <definedName name="вКР2Нац">#REF!</definedName>
    <definedName name="вКР3Ин">#REF!</definedName>
    <definedName name="вКР3Нац">#REF!</definedName>
    <definedName name="вКР4Ин">#REF!</definedName>
    <definedName name="вКР4Нац">#REF!</definedName>
    <definedName name="вКР5Ин">#REF!</definedName>
    <definedName name="вКР5Нац">#REF!</definedName>
    <definedName name="вКР6Ин">#REF!</definedName>
    <definedName name="вКР6Нац">#REF!</definedName>
    <definedName name="вКредБанкамНерезамПросрочСтавкаИн">#REF!</definedName>
    <definedName name="вКредБанкамНерезамПросрочСтавкаНац">#REF!</definedName>
    <definedName name="вКредБанкамРезамПросрочСтавкаИн">#REF!</definedName>
    <definedName name="вКредБанкамРезамПросрочСтавкаНац">#REF!</definedName>
    <definedName name="вКрМБПросроч_ставка">#REF!</definedName>
    <definedName name="вКрМБСроч_ставка">#REF!</definedName>
    <definedName name="вКрФизПросроч_объем">#REF!</definedName>
    <definedName name="вКрФизПросроч_ставка">#REF!</definedName>
    <definedName name="вКрФизСроч_объем">#REF!</definedName>
    <definedName name="вКрФизСроч_ставка">#REF!</definedName>
    <definedName name="вКрЮрПросроч_объем">#REF!</definedName>
    <definedName name="вКрЮрПросроч_ставка">#REF!</definedName>
    <definedName name="вКрЮрСроч_объем">#REF!</definedName>
    <definedName name="вКрЮрСроч_ставка">#REF!</definedName>
    <definedName name="вКурсДоллСША">#REF!</definedName>
    <definedName name="вла" localSheetId="2" hidden="1">{#N/A,#N/A,FALSE,"Aging Summary";#N/A,#N/A,FALSE,"Ratio Analysis";#N/A,#N/A,FALSE,"Test 120 Day Accts";#N/A,#N/A,FALSE,"Tickmarks"}</definedName>
    <definedName name="вла" hidden="1">{#N/A,#N/A,FALSE,"Aging Summary";#N/A,#N/A,FALSE,"Ratio Analysis";#N/A,#N/A,FALSE,"Test 120 Day Accts";#N/A,#N/A,FALSE,"Tickmarks"}</definedName>
    <definedName name="влвгдл" localSheetId="2" hidden="1">{0,0}</definedName>
    <definedName name="влвгдл" hidden="1">{0,0}</definedName>
    <definedName name="вЛОРО_ставка" localSheetId="2">#REF!</definedName>
    <definedName name="вЛОРО_ставка">#REF!</definedName>
    <definedName name="вМБК_Привл_ставка" localSheetId="2">#REF!</definedName>
    <definedName name="вМБК_Привл_ставка">#REF!</definedName>
    <definedName name="вМБК_Сбер_объем" localSheetId="2">#REF!</definedName>
    <definedName name="вМБК_Сбер_объем">#REF!</definedName>
    <definedName name="вМБК_Сбер_ставка">#REF!</definedName>
    <definedName name="вМБКПривлИтого_объем">#REF!</definedName>
    <definedName name="вМБКразм_объем">#REF!</definedName>
    <definedName name="вМБКразм_ставка">#REF!</definedName>
    <definedName name="вНалогиНаРасхПрошлНац">#REF!</definedName>
    <definedName name="вНалогиНаРасхТекНац">#REF!</definedName>
    <definedName name="вНалогНаДохПоЦБНац">#REF!</definedName>
    <definedName name="вНалогНаПрибыль_ставка">#REF!</definedName>
    <definedName name="вНалогНаПрибыльНац">#REF!</definedName>
    <definedName name="внеу" hidden="1">#NAME?</definedName>
    <definedName name="вно" localSheetId="2" hidden="1">{#N/A,#N/A,TRUE,"Буржуям"}</definedName>
    <definedName name="вно" hidden="1">{#N/A,#N/A,TRUE,"Буржуям"}</definedName>
    <definedName name="вново" localSheetId="2" hidden="1">{#N/A,#N/A,TRUE,"Буржуям"}</definedName>
    <definedName name="вново" hidden="1">{#N/A,#N/A,TRUE,"Буржуям"}</definedName>
    <definedName name="вноон" localSheetId="2" hidden="1">{"'9'!$A$1:$S$99"}</definedName>
    <definedName name="вноон" hidden="1">{"'9'!$A$1:$S$99"}</definedName>
    <definedName name="вНостро_ставка">#REF!</definedName>
    <definedName name="во" localSheetId="2" hidden="1">{#N/A,#N/A,TRUE,"Буржуям"}</definedName>
    <definedName name="во" hidden="1">{#N/A,#N/A,TRUE,"Буржуям"}</definedName>
    <definedName name="вово" localSheetId="2" hidden="1">{#N/A,#N/A,TRUE,"Буржуям"}</definedName>
    <definedName name="вово" hidden="1">{#N/A,#N/A,TRUE,"Буржуям"}</definedName>
    <definedName name="вОперРасходы" localSheetId="2">#REF!</definedName>
    <definedName name="вОперРасходы">#REF!</definedName>
    <definedName name="вОпреРасхПрочиеИн" localSheetId="2">#REF!</definedName>
    <definedName name="вОпреРасхПрочиеИн">#REF!</definedName>
    <definedName name="вОпреРасхПрочиеНац" localSheetId="2">#REF!</definedName>
    <definedName name="вОпреРасхПрочиеНац">#REF!</definedName>
    <definedName name="вОтчвРезервИтого">#REF!</definedName>
    <definedName name="вОтчвРезервПоСсудам">#REF!</definedName>
    <definedName name="вп" localSheetId="2" hidden="1">{#N/A,#N/A,TRUE,"Буржуям"}</definedName>
    <definedName name="вп" hidden="1">{#N/A,#N/A,TRUE,"Буржуям"}</definedName>
    <definedName name="впа" localSheetId="2" hidden="1">{"баланс",#N/A,TRUE,"Баланс  на  декабрь"}</definedName>
    <definedName name="впа" hidden="1">{"баланс",#N/A,TRUE,"Баланс  на  декабрь"}</definedName>
    <definedName name="вПассивПрочие1_ставка" localSheetId="2">#REF!</definedName>
    <definedName name="вПассивПрочие1_ставка">#REF!</definedName>
    <definedName name="вПассивПрочие2_ставка" localSheetId="2">#REF!</definedName>
    <definedName name="вПассивПрочие2_ставка">#REF!</definedName>
    <definedName name="вПассивПрочие3_ставка" localSheetId="2">#REF!</definedName>
    <definedName name="вПассивПрочие3_ставка">#REF!</definedName>
    <definedName name="впв">#REF!</definedName>
    <definedName name="впвп">#REF!</definedName>
    <definedName name="впвыпвыпвыпыврипкавып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впвыпвыпвыпыврипкавып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впп" localSheetId="2" hidden="1">{"glc1",#N/A,FALSE,"GLC";"glc2",#N/A,FALSE,"GLC";"glc3",#N/A,FALSE,"GLC";"glc4",#N/A,FALSE,"GLC";"glc5",#N/A,FALSE,"GLC"}</definedName>
    <definedName name="впп" hidden="1">{"glc1",#N/A,FALSE,"GLC";"glc2",#N/A,FALSE,"GLC";"glc3",#N/A,FALSE,"GLC";"glc4",#N/A,FALSE,"GLC";"glc5",#N/A,FALSE,"GLC"}</definedName>
    <definedName name="впро" localSheetId="2" hidden="1">{#N/A,#N/A,TRUE,"Буржуям"}</definedName>
    <definedName name="впро" hidden="1">{#N/A,#N/A,TRUE,"Буржуям"}</definedName>
    <definedName name="вПрОперДоходПрочиеИн" localSheetId="2">#REF!</definedName>
    <definedName name="вПрОперДоходПрочиеИн">#REF!</definedName>
    <definedName name="вПрОперДоходПрочиеНац" localSheetId="2">#REF!</definedName>
    <definedName name="вПрОперДоходПрочиеНац">#REF!</definedName>
    <definedName name="вПрОперДоходПрочиеРезервИн" localSheetId="2">#REF!</definedName>
    <definedName name="вПрОперДоходПрочиеРезервИн">#REF!</definedName>
    <definedName name="вПрОперДоходПрочиеРезервНац">#REF!</definedName>
    <definedName name="вПрОперДоходПрочиеРезервОтПравТребовИн">#REF!</definedName>
    <definedName name="вПрОперДоходПрочиеРезервОтПравТребовНац">#REF!</definedName>
    <definedName name="вПрочАктив1ОстатокИн">#REF!</definedName>
    <definedName name="вПрочАктив1ОстатокНац">#REF!</definedName>
    <definedName name="вПрочАктив1РезервИн">#REF!</definedName>
    <definedName name="вПрочАктив1РезервНац">#REF!</definedName>
    <definedName name="вПрочАктив1РезервПроцИн">#REF!</definedName>
    <definedName name="вПрочАктив1РезервПроцНац">#REF!</definedName>
    <definedName name="вПрочАктив1СтавкаИн">#REF!</definedName>
    <definedName name="вПрочАктив1СтавкаНац">#REF!</definedName>
    <definedName name="вПрочАктив1ТППИн">#REF!</definedName>
    <definedName name="вПрочАктив1ТППНац">#REF!</definedName>
    <definedName name="вПрочАктив2ОстатокИн">#REF!</definedName>
    <definedName name="вПрочАктив2ОстатокНац">#REF!</definedName>
    <definedName name="вПрочАктив2РезервИн">#REF!</definedName>
    <definedName name="вПрочАктив2РезервНац">#REF!</definedName>
    <definedName name="вПрочАктив2РезервПроцИн">#REF!</definedName>
    <definedName name="вПрочАктив2РезервПроцНац">#REF!</definedName>
    <definedName name="вПрочАктив2СтавкаИн">#REF!</definedName>
    <definedName name="вПрочАктив2СтавкаНац">#REF!</definedName>
    <definedName name="вПрочАктив2ТППИн">#REF!</definedName>
    <definedName name="вПрочАктив2ТППНац">#REF!</definedName>
    <definedName name="вПрочиеПрочиеНПИн">#REF!</definedName>
    <definedName name="вПрочиеПрочиеНПНац">#REF!</definedName>
    <definedName name="вПрочиеПрочиеСтавкаИн">#REF!</definedName>
    <definedName name="вПрочиеПрочиеСтавкаНац">#REF!</definedName>
    <definedName name="враварварва" hidden="1">#NAME?</definedName>
    <definedName name="вРасхПерсоналЕСН" localSheetId="2">#REF!</definedName>
    <definedName name="вРасхПерсоналЕСН">#REF!</definedName>
    <definedName name="вРасхПерсоналЗарплата" localSheetId="2">#REF!</definedName>
    <definedName name="вРасхПерсоналЗарплата">#REF!</definedName>
    <definedName name="вРасхПерсоналПрочие" localSheetId="2">#REF!</definedName>
    <definedName name="вРасхПерсоналПрочие">#REF!</definedName>
    <definedName name="вРасхПерсоналПрошлЛет">#REF!</definedName>
    <definedName name="вРасхПерсоналРезВыслуга">#REF!</definedName>
    <definedName name="вРасхПерсоналРезГодовПремия">#REF!</definedName>
    <definedName name="вРасчСчета_ставка">#REF!</definedName>
    <definedName name="врварварв" hidden="1">#NAME?</definedName>
    <definedName name="вРегФилиалов" localSheetId="2">#REF!</definedName>
    <definedName name="вРегФилиалов">#REF!</definedName>
    <definedName name="вРезервыКрФиз_объем" localSheetId="2">#REF!</definedName>
    <definedName name="вРезервыКрФиз_объем">#REF!</definedName>
    <definedName name="вРезервыКрЮр_объем" localSheetId="2">#REF!</definedName>
    <definedName name="вРезервыКрЮр_объем">#REF!</definedName>
    <definedName name="Время" localSheetId="2">OFFSET(#REF!,0,0,COUNTA(#REF!),1)</definedName>
    <definedName name="Время">OFFSET(#REF!,0,0,COUNTA(#REF!),1)</definedName>
    <definedName name="врк" hidden="1">#NAME?</definedName>
    <definedName name="врфр" localSheetId="2" hidden="1">{#VALUE!,#N/A,TRUE,0}</definedName>
    <definedName name="врфр" hidden="1">{#VALUE!,#N/A,TRUE,0}</definedName>
    <definedName name="вс" localSheetId="2" hidden="1">{#N/A,#N/A,FALSE,"Aging Summary";#N/A,#N/A,FALSE,"Ratio Analysis";#N/A,#N/A,FALSE,"Test 120 Day Accts";#N/A,#N/A,FALSE,"Tickmarks"}</definedName>
    <definedName name="вс" hidden="1">{#N/A,#N/A,FALSE,"Aging Summary";#N/A,#N/A,FALSE,"Ratio Analysis";#N/A,#N/A,FALSE,"Test 120 Day Accts";#N/A,#N/A,FALSE,"Tickmarks"}</definedName>
    <definedName name="вСделкиДрагмПереоценИн" localSheetId="2">#REF!</definedName>
    <definedName name="вСделкиДрагмПереоценИн">#REF!</definedName>
    <definedName name="вСделкиДрагмПереоценНац" localSheetId="2">#REF!</definedName>
    <definedName name="вСделкиДрагмПереоценНац">#REF!</definedName>
    <definedName name="вСделкиДрагмПрочиеИн" localSheetId="2">#REF!</definedName>
    <definedName name="вСделкиДрагмПрочиеИн">#REF!</definedName>
    <definedName name="вСделкиДрагмПрочиеНац">#REF!</definedName>
    <definedName name="вСделкиДрагмСрочСделИн">#REF!</definedName>
    <definedName name="вСделкиДрагмСрочСделНац">#REF!</definedName>
    <definedName name="вСделкиДрагмТоргОперацииИн">#REF!</definedName>
    <definedName name="вСделкиДрагмТоргОперацииНац">#REF!</definedName>
    <definedName name="вСобДолгОбва_ставка">#REF!</definedName>
    <definedName name="вСобствСредства_объем">#REF!</definedName>
    <definedName name="вспом" localSheetId="2" hidden="1">#REF!</definedName>
    <definedName name="вспом" hidden="1">#REF!</definedName>
    <definedName name="Вспом." localSheetId="2" hidden="1">{"'Sheet1'!$A$1:$G$96","'Sheet1'!$A$1:$H$96"}</definedName>
    <definedName name="Вспом." hidden="1">{"'Sheet1'!$A$1:$G$96","'Sheet1'!$A$1:$H$96"}</definedName>
    <definedName name="вСредстваЮрЛиц_объем" localSheetId="2">#REF!</definedName>
    <definedName name="вСредстваЮрЛиц_объем">#REF!</definedName>
    <definedName name="вСрМб_ставка" localSheetId="2">#REF!</definedName>
    <definedName name="вСрМб_ставка">#REF!</definedName>
    <definedName name="вСрФизЛиц_объем" localSheetId="2">#REF!</definedName>
    <definedName name="вСрФизЛиц_объем">#REF!</definedName>
    <definedName name="вСрФизЛиц_ставка">#REF!</definedName>
    <definedName name="вСубДолг_ставка">#REF!</definedName>
    <definedName name="вТоргДоходКонвПереоценИн">#REF!</definedName>
    <definedName name="вТоргДоходКонвПереоценНац">#REF!</definedName>
    <definedName name="вТоргДоходКонвСрочСделИн">#REF!</definedName>
    <definedName name="вТоргДоходКонвСрочСделНац">#REF!</definedName>
    <definedName name="вТоргДоходКонвТоргОперацииИн">#REF!</definedName>
    <definedName name="вТоргДоходКонвТоргОперацииНац">#REF!</definedName>
    <definedName name="вТоргДоходЦБДоляПродАкцииИн">#REF!</definedName>
    <definedName name="вТоргДоходЦБДоляПродАкцииНац">#REF!</definedName>
    <definedName name="вТоргДоходЦБДоляПродГосОблИн">#REF!</definedName>
    <definedName name="вТоргДоходЦБДоляПродГосОблНац">#REF!</definedName>
    <definedName name="вТоргДоходЦБДоляПродКорпОблИн">#REF!</definedName>
    <definedName name="вТоргДоходЦБДоляПродКорпОблНац">#REF!</definedName>
    <definedName name="вТоргДоходЦБДоляПродМестОргИн">#REF!</definedName>
    <definedName name="вТоргДоходЦБДоляПродМестОргНац">#REF!</definedName>
    <definedName name="вТоргДоходЦБДоляПродОблБанковИн">#REF!</definedName>
    <definedName name="вТоргДоходЦБДоляПродОблБанковНац">#REF!</definedName>
    <definedName name="вТоргДоходЦБДоляПродОблИнострГосИн">#REF!</definedName>
    <definedName name="вТоргДоходЦБДоляПродОблИнострГосНац">#REF!</definedName>
    <definedName name="вТоргДоходЦБДоПогашГосОблИн">#REF!</definedName>
    <definedName name="вТоргДоходЦБДоПогашГосОблНац">#REF!</definedName>
    <definedName name="вТоргДоходЦБДоПогашКорпОблИн">#REF!</definedName>
    <definedName name="вТоргДоходЦБДоПогашКорпОблНац">#REF!</definedName>
    <definedName name="вТоргДоходЦБДоПогашМестОргИн">#REF!</definedName>
    <definedName name="вТоргДоходЦБДоПогашМестОргНац">#REF!</definedName>
    <definedName name="вТоргДоходЦБДоПогашОблБанковИн">#REF!</definedName>
    <definedName name="вТоргДоходЦБДоПогашОблБанковНац">#REF!</definedName>
    <definedName name="вТоргДоходЦБДоПогашОблИнострГосИн">#REF!</definedName>
    <definedName name="вТоргДоходЦБДоПогашОблИнострГосНац">#REF!</definedName>
    <definedName name="вТоргДоходЦБОПУАкцииИн">#REF!</definedName>
    <definedName name="вТоргДоходЦБОПУАкцииНац">#REF!</definedName>
    <definedName name="вТоргДоходЦБОПУГосОблИн">#REF!</definedName>
    <definedName name="вТоргДоходЦБОПУГосОблНац">#REF!</definedName>
    <definedName name="вТоргДоходЦБОПУКорпОблИн">#REF!</definedName>
    <definedName name="вТоргДоходЦБОПУКорпОблНац">#REF!</definedName>
    <definedName name="вТоргДоходЦБОПУМестОргИн">#REF!</definedName>
    <definedName name="вТоргДоходЦБОПУМестОргНац">#REF!</definedName>
    <definedName name="вТоргДоходЦБОПУОблБанковИн">#REF!</definedName>
    <definedName name="вТоргДоходЦБОПУОблБанковНац">#REF!</definedName>
    <definedName name="вТоргДоходЦБОПУОблИнострГосИн">#REF!</definedName>
    <definedName name="вТоргДоходЦБОПУОблИнострГосНац">#REF!</definedName>
    <definedName name="вТочекПродаж">#REF!</definedName>
    <definedName name="вуув" localSheetId="2" hidden="1">{#N/A,#N/A,TRUE,"Лист1";#N/A,#N/A,TRUE,"Лист2";#N/A,#N/A,TRUE,"Лист3"}</definedName>
    <definedName name="вуув" hidden="1">{#N/A,#N/A,TRUE,"Лист1";#N/A,#N/A,TRUE,"Лист2";#N/A,#N/A,TRUE,"Лист3"}</definedName>
    <definedName name="вФСВИн" localSheetId="2">#REF!</definedName>
    <definedName name="вФСВИн">#REF!</definedName>
    <definedName name="вФСВНац" localSheetId="2">#REF!</definedName>
    <definedName name="вФСВНац">#REF!</definedName>
    <definedName name="вЦБНеПогашГосОблСтавкаИн" localSheetId="2">#REF!</definedName>
    <definedName name="вЦБНеПогашГосОблСтавкаИн">#REF!</definedName>
    <definedName name="вЦБНеПогашГосОблСтавкаНац">#REF!</definedName>
    <definedName name="вЦБНеПогашКорпОблСтавкаИн">#REF!</definedName>
    <definedName name="вЦБНеПогашКорпОблСтавкаНац">#REF!</definedName>
    <definedName name="вЦБНеПогашМестОВСтавкаИн">#REF!</definedName>
    <definedName name="вЦБНеПогашМестОВСтавкаНац">#REF!</definedName>
    <definedName name="вЦБНеПогашОблБанковСтавкаИн">#REF!</definedName>
    <definedName name="вЦБНеПогашОблБанковСтавкаНац">#REF!</definedName>
    <definedName name="вЦБНеПогашОблИнГосСтавкаИн">#REF!</definedName>
    <definedName name="вЦБНеПогашОблИнГосСтавкаНац">#REF!</definedName>
    <definedName name="вЧислПерсонала">#REF!</definedName>
    <definedName name="вы" localSheetId="2" hidden="1">#REF!</definedName>
    <definedName name="вы" hidden="1">#REF!</definedName>
    <definedName name="выав">#REF!</definedName>
    <definedName name="выам" hidden="1">#NAME?</definedName>
    <definedName name="ВЫАОБВФП">#REF!</definedName>
    <definedName name="ВЫапвап" localSheetId="2" hidden="1">{"'РП (2)'!$A$5:$S$150"}</definedName>
    <definedName name="ВЫапвап" hidden="1">{"'РП (2)'!$A$5:$S$150"}</definedName>
    <definedName name="выауа">#REF!</definedName>
    <definedName name="выаыв" localSheetId="2" hidden="1">{"баланс",#N/A,TRUE,"Баланс  на  декабрь"}</definedName>
    <definedName name="выаыв" hidden="1">{"баланс",#N/A,TRUE,"Баланс  на  декабрь"}</definedName>
    <definedName name="выаыфвпфыва" localSheetId="2" hidden="1">{#N/A,#N/A,FALSE,"Год 99."}</definedName>
    <definedName name="выаыфвпфыва" hidden="1">{#N/A,#N/A,FALSE,"Год 99."}</definedName>
    <definedName name="ВыбранныйТипОСАГО">#NAME?</definedName>
    <definedName name="вымп" localSheetId="2">#REF!</definedName>
    <definedName name="вымп">#REF!</definedName>
    <definedName name="выпврыпаосв" localSheetId="2" hidden="1">#REF!</definedName>
    <definedName name="выпврыпаосв" hidden="1">#REF!</definedName>
    <definedName name="выпП" hidden="1">#NAME?</definedName>
    <definedName name="выпппаырп" hidden="1">#NAME?</definedName>
    <definedName name="выраы">#REF!,#REF!,#REF!,#REF!,#REF!,#REF!,#REF!,#REF!,#REF!,#REF!,#REF!,#REF!</definedName>
    <definedName name="выручка" localSheetId="2" hidden="1">#REF!</definedName>
    <definedName name="выручка" hidden="1">#REF!</definedName>
    <definedName name="выф" localSheetId="2" hidden="1">{"glcbs",#N/A,FALSE,"GLCBS";"glccsbs",#N/A,FALSE,"GLCCSBS";"glcis",#N/A,FALSE,"GLCIS";"glccsis",#N/A,FALSE,"GLCCSIS";"glcrat1",#N/A,FALSE,"GLC-ratios1"}</definedName>
    <definedName name="выф" hidden="1">{"glcbs",#N/A,FALSE,"GLCBS";"glccsbs",#N/A,FALSE,"GLCCSBS";"glcis",#N/A,FALSE,"GLCIS";"glccsis",#N/A,FALSE,"GLCCSIS";"glcrat1",#N/A,FALSE,"GLC-ratios1"}</definedName>
    <definedName name="вяраяяяяяяя" hidden="1">#NAME?</definedName>
    <definedName name="г">#REF!</definedName>
    <definedName name="галя" localSheetId="2" hidden="1">#REF!</definedName>
    <definedName name="галя" hidden="1">#REF!</definedName>
    <definedName name="ГБР_ПОСТЫ" localSheetId="2">OFFSET(#REF!,MATCH(#REF!,#REF!,0)-1,2,COUNTIF(#REF!,#REF!),1)</definedName>
    <definedName name="ГБР_ПОСТЫ">OFFSET(#REF!,MATCH(#REF!,#REF!,0)-1,2,COUNTIF(#REF!,#REF!),1)</definedName>
    <definedName name="ггг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ггг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гггг" localSheetId="2" hidden="1">{#N/A,#N/A,TRUE,"Буржуям"}</definedName>
    <definedName name="гггг" hidden="1">{#N/A,#N/A,TRUE,"Буржуям"}</definedName>
    <definedName name="гггггггггггг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гггггггггггг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гд">#REF!</definedName>
    <definedName name="гд1">#REF!</definedName>
    <definedName name="гддд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ддд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ег" localSheetId="2" hidden="1">{#N/A,#N/A,FALSE,"Год 99."}</definedName>
    <definedName name="гег" hidden="1">{#N/A,#N/A,FALSE,"Год 99."}</definedName>
    <definedName name="геек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геек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генегнг">#REF!</definedName>
    <definedName name="генплан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енпла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н" localSheetId="2" hidden="1">{"glcbs",#N/A,FALSE,"GLCBS";"glccsbs",#N/A,FALSE,"GLCCSBS";"glcis",#N/A,FALSE,"GLCIS";"glccsis",#N/A,FALSE,"GLCCSIS";"glcrat1",#N/A,FALSE,"GLC-ratios1"}</definedName>
    <definedName name="гн" hidden="1">{"glcbs",#N/A,FALSE,"GLCBS";"glccsbs",#N/A,FALSE,"GLCCSBS";"glcis",#N/A,FALSE,"GLCIS";"glccsis",#N/A,FALSE,"GLCCSIS";"glcrat1",#N/A,FALSE,"GLC-ratios1"}</definedName>
    <definedName name="гнек" localSheetId="2" hidden="1">{#N/A,#N/A,FALSE,"Год 99."}</definedName>
    <definedName name="гнек" hidden="1">{#N/A,#N/A,FALSE,"Год 99."}</definedName>
    <definedName name="гнпсмв" localSheetId="2" hidden="1">{#N/A,#N/A,TRUE,"Буржуям"}</definedName>
    <definedName name="гнпсмв" hidden="1">{#N/A,#N/A,TRUE,"Буржуям"}</definedName>
    <definedName name="ГНЧЧ">#REF!</definedName>
    <definedName name="гнш" localSheetId="2" hidden="1">{#N/A,#N/A,FALSE,"Год 99."}</definedName>
    <definedName name="гнш" hidden="1">{#N/A,#N/A,FALSE,"Год 99."}</definedName>
    <definedName name="год" localSheetId="2">#REF!</definedName>
    <definedName name="год" hidden="1">{"баланс",#N/A,TRUE,"Баланс  на  декабрь"}</definedName>
    <definedName name="голагл" localSheetId="2" hidden="1">{#VALUE!,#N/A,TRUE,0}</definedName>
    <definedName name="голагл" hidden="1">{#VALUE!,#N/A,TRUE,0}</definedName>
    <definedName name="Гольцов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ольц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господь" localSheetId="2" hidden="1">{"баланс",#N/A,TRUE,"Баланс  на  декабрь"}</definedName>
    <definedName name="господь" hidden="1">{"баланс",#N/A,TRUE,"Баланс  на  декабрь"}</definedName>
    <definedName name="гр" localSheetId="2" hidden="1">{#N/A,#N/A,TRUE,"Буржуям"}</definedName>
    <definedName name="гр" hidden="1">{#N/A,#N/A,TRUE,"Буржуям"}</definedName>
    <definedName name="гра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нит_Дата">#REF!</definedName>
    <definedName name="Гранит_Код_ДДС">#REF!</definedName>
    <definedName name="Гранит_Получатель_ДС">#REF!</definedName>
    <definedName name="Гранит_Сумма__руб.">#REF!</definedName>
    <definedName name="граф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ф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граф2" hidden="1">#NAME?</definedName>
    <definedName name="график" localSheetId="2" hidden="1">{#N/A,#N/A,TRUE,"Лист2"}</definedName>
    <definedName name="график" hidden="1">{#N/A,#N/A,TRUE,"Лист2"}</definedName>
    <definedName name="грвен" localSheetId="2" hidden="1">{"баланс",#N/A,TRUE,"Баланс  на  декабрь"}</definedName>
    <definedName name="грвен" hidden="1">{"баланс",#N/A,TRUE,"Баланс  на  декабрь"}</definedName>
    <definedName name="грприрцфв00ав98" localSheetId="2" hidden="1">{#N/A,#N/A,TRUE,"Лист1";#N/A,#N/A,TRUE,"Лист2";#N/A,#N/A,TRUE,"Лист3"}</definedName>
    <definedName name="грприрцфв00ав98" hidden="1">{#N/A,#N/A,TRUE,"Лист1";#N/A,#N/A,TRUE,"Лист2";#N/A,#N/A,TRUE,"Лист3"}</definedName>
    <definedName name="грфинцкавг98Х" localSheetId="2" hidden="1">{#N/A,#N/A,TRUE,"Лист1";#N/A,#N/A,TRUE,"Лист2";#N/A,#N/A,TRUE,"Лист3"}</definedName>
    <definedName name="грфинцкавг98Х" hidden="1">{#N/A,#N/A,TRUE,"Лист1";#N/A,#N/A,TRUE,"Лист2";#N/A,#N/A,TRUE,"Лист3"}</definedName>
    <definedName name="гуцц" localSheetId="2" hidden="1">{0,0}</definedName>
    <definedName name="гуцц" hidden="1">{0,0}</definedName>
    <definedName name="гшгг" localSheetId="2" hidden="1">{"'РП (2)'!$A$5:$S$150"}</definedName>
    <definedName name="гшгг" hidden="1">{"'РП (2)'!$A$5:$S$150"}</definedName>
    <definedName name="гшгш" localSheetId="2" hidden="1">{#N/A,#N/A,TRUE,"Буржуям"}</definedName>
    <definedName name="гшгш" hidden="1">{#N/A,#N/A,TRUE,"Буржуям"}</definedName>
    <definedName name="гшенн" localSheetId="2" hidden="1">{#N/A,#N/A,FALSE,"Aging Summary";#N/A,#N/A,FALSE,"Ratio Analysis";#N/A,#N/A,FALSE,"Test 120 Day Accts";#N/A,#N/A,FALSE,"Tickmarks"}</definedName>
    <definedName name="гшенн" hidden="1">{#N/A,#N/A,FALSE,"Aging Summary";#N/A,#N/A,FALSE,"Ratio Analysis";#N/A,#N/A,FALSE,"Test 120 Day Accts";#N/A,#N/A,FALSE,"Tickmarks"}</definedName>
    <definedName name="гшнгш" localSheetId="2" hidden="1">{#N/A,#N/A,TRUE,"Буржуям"}</definedName>
    <definedName name="гшнгш" hidden="1">{#N/A,#N/A,TRUE,"Буржуям"}</definedName>
    <definedName name="гшш" localSheetId="2" hidden="1">{#N/A,#N/A,TRUE,"Буржуям"}</definedName>
    <definedName name="гшш" hidden="1">{#N/A,#N/A,TRUE,"Буржуям"}</definedName>
    <definedName name="гшшш" localSheetId="2" hidden="1">{#N/A,#N/A,TRUE,"Буржуям"}</definedName>
    <definedName name="гшшш" hidden="1">{#N/A,#N/A,TRUE,"Буржуям"}</definedName>
    <definedName name="гшщ" localSheetId="2" hidden="1">{#N/A,#N/A,FALSE,"Год 99."}</definedName>
    <definedName name="гшщ" hidden="1">{#N/A,#N/A,FALSE,"Год 99."}</definedName>
    <definedName name="гщш" localSheetId="2" hidden="1">{#N/A,#N/A,TRUE,"Engineering Dept";#N/A,#N/A,TRUE,"Sales Dept";#N/A,#N/A,TRUE,"Marketing Dept";#N/A,#N/A,TRUE,"Admin Dept"}</definedName>
    <definedName name="гщш" hidden="1">{#N/A,#N/A,TRUE,"Engineering Dept";#N/A,#N/A,TRUE,"Sales Dept";#N/A,#N/A,TRUE,"Marketing Dept";#N/A,#N/A,TRUE,"Admin Dept"}</definedName>
    <definedName name="гщш_1" localSheetId="2" hidden="1">{#N/A,#N/A,TRUE,"Engineering Dept";#N/A,#N/A,TRUE,"Sales Dept";#N/A,#N/A,TRUE,"Marketing Dept";#N/A,#N/A,TRUE,"Admin Dept"}</definedName>
    <definedName name="гщш_1" hidden="1">{#N/A,#N/A,TRUE,"Engineering Dept";#N/A,#N/A,TRUE,"Sales Dept";#N/A,#N/A,TRUE,"Marketing Dept";#N/A,#N/A,TRUE,"Admin Dept"}</definedName>
    <definedName name="д" localSheetId="2">#REF!</definedName>
    <definedName name="д" hidden="1">#REF!</definedName>
    <definedName name="да">#REF!</definedName>
    <definedName name="Данные" localSheetId="2" hidden="1">#REF!</definedName>
    <definedName name="Данные" hidden="1">#REF!</definedName>
    <definedName name="дата">"Т8"</definedName>
    <definedName name="дач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ач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ббщд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ббщд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ва" localSheetId="2" hidden="1">{"баланс",#N/A,TRUE,"Баланс  на  декабрь"}</definedName>
    <definedName name="два" hidden="1">{"баланс",#N/A,TRUE,"Баланс  на  декабрь"}</definedName>
    <definedName name="движение">{#N/A,#N/A,FALSE,"Лист15"}</definedName>
    <definedName name="дгонеап" localSheetId="2" hidden="1">{"'РП (2)'!$A$5:$S$150"}</definedName>
    <definedName name="дгонеап" hidden="1">{"'РП (2)'!$A$5:$S$150"}</definedName>
    <definedName name="дгооашлр" localSheetId="2" hidden="1">{#N/A,#N/A,TRUE,"БДР отчет";#N/A,#N/A,TRUE,"БДДС отч";#N/A,#N/A,TRUE,"БОС"}</definedName>
    <definedName name="дгооашлр" hidden="1">{#N/A,#N/A,TRUE,"БДР отчет";#N/A,#N/A,TRUE,"БДДС отч";#N/A,#N/A,TRUE,"БОС"}</definedName>
    <definedName name="ддд">{#N/A,#N/A,FALSE,"Лист15"}</definedName>
    <definedName name="дддд" localSheetId="2" hidden="1">{"'9'!$A$1:$S$99"}</definedName>
    <definedName name="дддд" hidden="1">{"'9'!$A$1:$S$99"}</definedName>
    <definedName name="ддддд" localSheetId="2" hidden="1">{#N/A,#N/A,FALSE,"Год 99."}</definedName>
    <definedName name="ддддд" hidden="1">{#N/A,#N/A,FALSE,"Год 99."}</definedName>
    <definedName name="дддддддд" localSheetId="2" hidden="1">{#N/A,#N/A,FALSE,"Год 99."}</definedName>
    <definedName name="дддддддд" hidden="1">{#N/A,#N/A,FALSE,"Год 99."}</definedName>
    <definedName name="ддддддддд" localSheetId="2" hidden="1">{"Valuation_Common",#N/A,FALSE,"Valuation"}</definedName>
    <definedName name="ддддддддд" hidden="1">{"Valuation_Common",#N/A,FALSE,"Valuation"}</definedName>
    <definedName name="ддл" localSheetId="2" hidden="1">{"'9'!$A$1:$S$99"}</definedName>
    <definedName name="ддл" hidden="1">{"'9'!$A$1:$S$99"}</definedName>
    <definedName name="ддошищшгщшощз" localSheetId="2" hidden="1">{"баланс",#N/A,TRUE,"Баланс  на  декабрь"}</definedName>
    <definedName name="ддошищшгщшощз" hidden="1">{"баланс",#N/A,TRUE,"Баланс  на  декабрь"}</definedName>
    <definedName name="де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е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дело" localSheetId="2" hidden="1">{"'РП (2)'!$A$5:$S$150"}</definedName>
    <definedName name="дело" hidden="1">{"'РП (2)'!$A$5:$S$150"}</definedName>
    <definedName name="день" localSheetId="2" hidden="1">{"баланс",#N/A,TRUE,"Баланс  на  декабрь"}</definedName>
    <definedName name="день" hidden="1">{"баланс",#N/A,TRUE,"Баланс  на  декабрь"}</definedName>
    <definedName name="Департамент_управления_персоналом" localSheetId="2">#REF!</definedName>
    <definedName name="Департамент_управления_персоналом">#REF!</definedName>
    <definedName name="джл" localSheetId="2" hidden="1">{"assets",#N/A,FALSE,"historicBS";"liab",#N/A,FALSE,"historicBS";"is",#N/A,FALSE,"historicIS";"ratios",#N/A,FALSE,"ratios"}</definedName>
    <definedName name="джл" hidden="1">{"assets",#N/A,FALSE,"historicBS";"liab",#N/A,FALSE,"historicBS";"is",#N/A,FALSE,"historicIS";"ratios",#N/A,FALSE,"ratios"}</definedName>
    <definedName name="ДЗ_1" localSheetId="2" hidden="1">{#N/A,#N/A,FALSE,"Aging Summary";#N/A,#N/A,FALSE,"Ratio Analysis";#N/A,#N/A,FALSE,"Test 120 Day Accts";#N/A,#N/A,FALSE,"Tickmarks"}</definedName>
    <definedName name="ДЗ_1" hidden="1">{#N/A,#N/A,FALSE,"Aging Summary";#N/A,#N/A,FALSE,"Ratio Analysis";#N/A,#N/A,FALSE,"Test 120 Day Accts";#N/A,#N/A,FALSE,"Tickmarks"}</definedName>
    <definedName name="диаг" localSheetId="2" hidden="1">{#N/A,#N/A,TRUE,"Буржуям"}</definedName>
    <definedName name="диаг" hidden="1">{#N/A,#N/A,TRUE,"Буржуям"}</definedName>
    <definedName name="диапазон">#REF!</definedName>
    <definedName name="диверсифик" localSheetId="2" hidden="1">{#N/A,#N/A,TRUE,"Буржуям"}</definedName>
    <definedName name="диверсифик" hidden="1">{#N/A,#N/A,TRUE,"Буржуям"}</definedName>
    <definedName name="дивиденды">#REF!</definedName>
    <definedName name="ДК" localSheetId="2" hidden="1">{"'Sheet1'!$A$1:$G$96","'Sheet1'!$A$1:$H$96"}</definedName>
    <definedName name="ДК" hidden="1">{"'Sheet1'!$A$1:$G$96","'Sheet1'!$A$1:$H$96"}</definedName>
    <definedName name="длддьлд" localSheetId="2" hidden="1">{#N/A,#N/A,TRUE,"Буржуям"}</definedName>
    <definedName name="длддьлд" hidden="1">{#N/A,#N/A,TRUE,"Буржуям"}</definedName>
    <definedName name="длждлждлжлж" localSheetId="2" hidden="1">{"баланс",#N/A,TRUE,"Баланс  на  декабрь"}</definedName>
    <definedName name="длждлждлжлж" hidden="1">{"баланс",#N/A,TRUE,"Баланс  на  декабрь"}</definedName>
    <definedName name="длл">{#N/A,#N/A,FALSE,"Лист15"}</definedName>
    <definedName name="дло" localSheetId="2" hidden="1">{#N/A,#N/A,FALSE,"Год 99."}</definedName>
    <definedName name="дло" hidden="1">{#N/A,#N/A,FALSE,"Год 99."}</definedName>
    <definedName name="длогне" localSheetId="2" hidden="1">{"'РП (2)'!$A$5:$S$150"}</definedName>
    <definedName name="длогне" hidden="1">{"'РП (2)'!$A$5:$S$150"}</definedName>
    <definedName name="длогнпе" localSheetId="2" hidden="1">{"'РП (2)'!$A$5:$S$150"}</definedName>
    <definedName name="длогнпе" hidden="1">{"'РП (2)'!$A$5:$S$150"}</definedName>
    <definedName name="длоо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л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лор" localSheetId="2" hidden="1">{"'РП (2)'!$A$5:$S$150"}</definedName>
    <definedName name="длор" hidden="1">{"'РП (2)'!$A$5:$S$150"}</definedName>
    <definedName name="длорп" localSheetId="2" hidden="1">{"'РП (2)'!$A$5:$S$150"}</definedName>
    <definedName name="длорп" hidden="1">{"'РП (2)'!$A$5:$S$150"}</definedName>
    <definedName name="длорпавые" localSheetId="2" hidden="1">{"'РП (2)'!$A$5:$S$150"}</definedName>
    <definedName name="длорпавые" hidden="1">{"'РП (2)'!$A$5:$S$150"}</definedName>
    <definedName name="длорпн" localSheetId="2" hidden="1">{"'РП (2)'!$A$5:$S$150"}</definedName>
    <definedName name="длорпн" hidden="1">{"'РП (2)'!$A$5:$S$150"}</definedName>
    <definedName name="длпд" localSheetId="2" hidden="1">{#N/A,#N/A,TRUE,"Буржуям"}</definedName>
    <definedName name="длпд" hidden="1">{#N/A,#N/A,TRUE,"Буржуям"}</definedName>
    <definedName name="для_МА">{TRUE,TRUE,-2,-15.8,483.6,261,FALSE,TRUE,TRUE,TRUE,0,1,#N/A,2,#N/A,30.9152542372881,5.08695652173913,1,FALSE,FALSE,3,TRUE,1,FALSE,100,"Swvu.Для._.И.М..","ACwvu.Для._.И.М..",#N/A,FALSE,FALSE,0.196850393700787,0.196850393700787,0.47244094488189,0.47244094488189,2,"&amp;CКредитный портфель по состоянию на 01.06.99г.","Страница &amp;P из &amp;N",TRUE,FALSE,FALSE,FALSE,1,67,#N/A,#N/A,FALSE,"=C21,R1:R3","Rwvu.Для._.И.М..",#N/A,FALSE,FALSE,TRUE,9,300,300,FALSE,FALSE,TRUE,TRUE,TRUE}</definedName>
    <definedName name="днюб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нюб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ог005">#REF!</definedName>
    <definedName name="дог01052021">#REF!</definedName>
    <definedName name="договор">#REF!</definedName>
    <definedName name="договора04">#REF!</definedName>
    <definedName name="доенн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оен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документ10" localSheetId="2" hidden="1">{"'Sheet1'!$A$1:$G$96","'Sheet1'!$A$1:$H$96"}</definedName>
    <definedName name="документ10" hidden="1">{"'Sheet1'!$A$1:$G$96","'Sheet1'!$A$1:$H$96"}</definedName>
    <definedName name="дол" localSheetId="2" hidden="1">{#N/A,#N/A,FALSE,"Год 99."}</definedName>
    <definedName name="дол" hidden="1">{#N/A,#N/A,FALSE,"Год 99."}</definedName>
    <definedName name="Должности" localSheetId="2">OFFSET(#REF!,MATCH(#REF!,#REF!,0)-1,1,COUNTIF(#REF!,#REF!),1)</definedName>
    <definedName name="Должности">OFFSET(#REF!,MATCH(#REF!,#REF!,0)-1,1,COUNTIF(#REF!,#REF!),1)</definedName>
    <definedName name="Должность">#REF!</definedName>
    <definedName name="долл2014">#NAME?</definedName>
    <definedName name="долл2015">#NAME?</definedName>
    <definedName name="доп.пддс" localSheetId="2" hidden="1">{#VALUE!,#N/A,TRUE,0}</definedName>
    <definedName name="доп.пддс" hidden="1">{#VALUE!,#N/A,TRUE,0}</definedName>
    <definedName name="дополнение" localSheetId="2" hidden="1">{"print95",#N/A,FALSE,"1995E.XLS";"print96",#N/A,FALSE,"1996E.XLS"}</definedName>
    <definedName name="дополнение" hidden="1">{"print95",#N/A,FALSE,"1995E.XLS";"print96",#N/A,FALSE,"1996E.XLS"}</definedName>
    <definedName name="дпд" localSheetId="2" hidden="1">{#N/A,#N/A,TRUE,"Буржуям"}</definedName>
    <definedName name="дпд" hidden="1">{#N/A,#N/A,TRUE,"Буржуям"}</definedName>
    <definedName name="дпладоп" localSheetId="2" hidden="1">{"баланс",#N/A,TRUE,"Баланс  на  декабрь"}</definedName>
    <definedName name="дпладоп" hidden="1">{"баланс",#N/A,TRUE,"Баланс  на  декабрь"}</definedName>
    <definedName name="др" localSheetId="2" hidden="1">{#N/A,#N/A,TRUE,"Буржуям"}</definedName>
    <definedName name="др" hidden="1">{#N/A,#N/A,TRUE,"Буржуям"}</definedName>
    <definedName name="Драгоценные_металлы" localSheetId="2">#REF!</definedName>
    <definedName name="Драгоценные_металлы">#REF!</definedName>
    <definedName name="ДРОЛР" localSheetId="2" hidden="1">{"vi1",#N/A,FALSE,"Financial Statements";"vi2",#N/A,FALSE,"Financial Statements";#N/A,#N/A,FALSE,"DCF"}</definedName>
    <definedName name="ДРОЛР" hidden="1">{"vi1",#N/A,FALSE,"Financial Statements";"vi2",#N/A,FALSE,"Financial Statements";#N/A,#N/A,FALSE,"DCF"}</definedName>
    <definedName name="дт" hidden="1">#REF!</definedName>
    <definedName name="дшййаиса" localSheetId="2" hidden="1">{#N/A,#N/A,TRUE,"БДР отчет";#N/A,#N/A,TRUE,"БДДС отч";#N/A,#N/A,TRUE,"БОС"}</definedName>
    <definedName name="дшййаиса" hidden="1">{#N/A,#N/A,TRUE,"БДР отчет";#N/A,#N/A,TRUE,"БДДС отч";#N/A,#N/A,TRUE,"БОС"}</definedName>
    <definedName name="ДЩЛЬОРПАВ">#REF!</definedName>
    <definedName name="е">#REF!</definedName>
    <definedName name="ё" localSheetId="2" hidden="1">{"баланс",#N/A,TRUE,"Баланс  на  декабрь"}</definedName>
    <definedName name="ё" hidden="1">{"баланс",#N/A,TRUE,"Баланс  на  декабрь"}</definedName>
    <definedName name="Е4ГФЕКЫ">#REF!,#REF!,#REF!,#REF!,#REF!,#REF!,#REF!,#REF!,#REF!,#REF!,#REF!,#REF!</definedName>
    <definedName name="е4е" localSheetId="2" hidden="1">{"glc1",#N/A,FALSE,"GLC";"glc2",#N/A,FALSE,"GLC";"glc3",#N/A,FALSE,"GLC";"glc4",#N/A,FALSE,"GLC";"glc5",#N/A,FALSE,"GLC"}</definedName>
    <definedName name="е4е" hidden="1">{"glc1",#N/A,FALSE,"GLC";"glc2",#N/A,FALSE,"GLC";"glc3",#N/A,FALSE,"GLC";"glc4",#N/A,FALSE,"GLC";"glc5",#N/A,FALSE,"GLC"}</definedName>
    <definedName name="еаквуы">#REF!</definedName>
    <definedName name="ег5к" localSheetId="2" hidden="1">#REF!</definedName>
    <definedName name="ег5к" hidden="1">#REF!</definedName>
    <definedName name="егурпыра">#REF!</definedName>
    <definedName name="ееее" localSheetId="2" hidden="1">{#N/A,#N/A,TRUE,"Буржуям"}</definedName>
    <definedName name="ееее" hidden="1">{#N/A,#N/A,TRUE,"Буржуям"}</definedName>
    <definedName name="еееееее" localSheetId="2" hidden="1">{"баланс",#N/A,TRUE,"Баланс  на  декабрь"}</definedName>
    <definedName name="еееееее" hidden="1">{"баланс",#N/A,TRUE,"Баланс  на  декабрь"}</definedName>
    <definedName name="ееееееееееееееееееееееееееееееееееееееееееееееееееееееевккккккккккккккккккккенр" localSheetId="2" hidden="1">{"баланс",#N/A,TRUE,"Баланс  на  декабрь"}</definedName>
    <definedName name="ееееееееееееееееееееееееееееееееееееееееееееееееееееееевккккккккккккккккккккенр" hidden="1">{"баланс",#N/A,TRUE,"Баланс  на  декабрь"}</definedName>
    <definedName name="екнвегл" localSheetId="2" hidden="1">{0,0}</definedName>
    <definedName name="екнвегл" hidden="1">{0,0}</definedName>
    <definedName name="екр5" localSheetId="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р5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еку">#REF!,#REF!</definedName>
    <definedName name="екунке" localSheetId="2" hidden="1">#REF!</definedName>
    <definedName name="екунке" hidden="1">#REF!</definedName>
    <definedName name="екуц">#REF!,#REF!,#REF!,#REF!,#REF!,#REF!,#REF!,#REF!,#REF!,#REF!,#REF!</definedName>
    <definedName name="ен" localSheetId="2" hidden="1">{"баланс",#N/A,TRUE,"Баланс  на  декабрь"}</definedName>
    <definedName name="ен" hidden="1">{"баланс",#N/A,TRUE,"Баланс  на  декабрь"}</definedName>
    <definedName name="енене">#REF!</definedName>
    <definedName name="енов" localSheetId="2" hidden="1">{#N/A,#N/A,TRUE,"Буржуям"}</definedName>
    <definedName name="енов" hidden="1">{#N/A,#N/A,TRUE,"Буржуям"}</definedName>
    <definedName name="ену" hidden="1">#NAME?</definedName>
    <definedName name="еппп" localSheetId="2" hidden="1">{#N/A,#N/A,FALSE,"т02бд"}</definedName>
    <definedName name="еппп" hidden="1">{#N/A,#N/A,FALSE,"т02бд"}</definedName>
    <definedName name="епр" hidden="1">#REF!</definedName>
    <definedName name="ерекр">#REF!</definedName>
    <definedName name="ЕУК" localSheetId="2" hidden="1">{#N/A,#N/A,TRUE,"Буржуям"}</definedName>
    <definedName name="ЕУК" hidden="1">{#N/A,#N/A,TRUE,"Буржуям"}</definedName>
    <definedName name="ЕЫКОРЫНК">#REF!</definedName>
    <definedName name="ж" localSheetId="2" hidden="1">#REF!</definedName>
    <definedName name="ж" hidden="1">#REF!</definedName>
    <definedName name="жар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ДЛО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ЖДЛО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ждо" localSheetId="2" hidden="1">{#N/A,#N/A,FALSE,"Год 99."}</definedName>
    <definedName name="ждо" hidden="1">{#N/A,#N/A,FALSE,"Год 99."}</definedName>
    <definedName name="ждржд" localSheetId="2" hidden="1">{#N/A,#N/A,FALSE,"Год 99."}</definedName>
    <definedName name="ждржд" hidden="1">{#N/A,#N/A,FALSE,"Год 99."}</definedName>
    <definedName name="жж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ж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жжж">{#N/A,#N/A,FALSE,"Лист15"}</definedName>
    <definedName name="жлд" localSheetId="2" hidden="1">{#N/A,#N/A,FALSE,"Год 99."}</definedName>
    <definedName name="жлд" hidden="1">{#N/A,#N/A,FALSE,"Год 99."}</definedName>
    <definedName name="жопа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жоп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жр" localSheetId="2" hidden="1">{#N/A,#N/A,FALSE,"Год 99."}</definedName>
    <definedName name="жр" hidden="1">{#N/A,#N/A,FALSE,"Год 99."}</definedName>
    <definedName name="жфдылвоваипма" localSheetId="2" hidden="1">{"'РП (2)'!$A$5:$S$150"}</definedName>
    <definedName name="жфдылвоваипма" hidden="1">{"'РП (2)'!$A$5:$S$150"}</definedName>
    <definedName name="жфдылвровафаьытиаодвагпл" localSheetId="2" hidden="1">{"'РП (2)'!$A$5:$S$150"}</definedName>
    <definedName name="жфдылвровафаьытиаодвагпл" hidden="1">{"'РП (2)'!$A$5:$S$150"}</definedName>
    <definedName name="з" localSheetId="2" hidden="1">{"баланс",#N/A,TRUE,"Баланс  на  декабрь"}</definedName>
    <definedName name="з" hidden="1">{"баланс",#N/A,TRUE,"Баланс  на  декабрь"}</definedName>
    <definedName name="Зав" localSheetId="2" hidden="1">{#N/A,#N/A,TRUE,"Буржуям"}</definedName>
    <definedName name="Зав" hidden="1">{#N/A,#N/A,TRUE,"Буржуям"}</definedName>
    <definedName name="ЗАДАНИЕ" localSheetId="2" hidden="1">{#N/A,#N/A,TRUE,"Буржуям"}</definedName>
    <definedName name="ЗАДАНИЕ" hidden="1">{#N/A,#N/A,TRUE,"Буржуям"}</definedName>
    <definedName name="ЗАДАНИЕ." localSheetId="2" hidden="1">{#VALUE!,#N/A,TRUE,0}</definedName>
    <definedName name="ЗАДАНИЕ." hidden="1">{#VALUE!,#N/A,TRUE,0}</definedName>
    <definedName name="Займ2" hidden="1">#REF!</definedName>
    <definedName name="запасы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пасы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пасы1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пасы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рп" localSheetId="2" hidden="1">{#N/A,#N/A,TRUE,"Буржуям"}</definedName>
    <definedName name="зарп" hidden="1">{#N/A,#N/A,TRUE,"Буржуям"}</definedName>
    <definedName name="зачет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че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Зачет_аванса">#NAME?</definedName>
    <definedName name="Зенит_Дата">#REF!</definedName>
    <definedName name="Зенит_Код_ДДС">#REF!</definedName>
    <definedName name="Зенит_Получатель_ДС">#REF!</definedName>
    <definedName name="Зенит_Сумма__руб.">#REF!</definedName>
    <definedName name="ззз" localSheetId="2" hidden="1">{#N/A,#N/A,TRUE,"Буржуям"}</definedName>
    <definedName name="ззз" hidden="1">{#N/A,#N/A,TRUE,"Буржуям"}</definedName>
    <definedName name="зш" localSheetId="2" hidden="1">{#N/A,#N/A,FALSE,"Год 99."}</definedName>
    <definedName name="зш" hidden="1">{#N/A,#N/A,FALSE,"Год 99."}</definedName>
    <definedName name="зшшрвор" localSheetId="2" hidden="1">{"баланс",#N/A,TRUE,"Баланс  на  декабрь"}</definedName>
    <definedName name="зшшрвор" hidden="1">{"баланс",#N/A,TRUE,"Баланс  на  декабрь"}</definedName>
    <definedName name="зщ" localSheetId="2" hidden="1">{"'Sheet1'!$A$1:$G$96","'Sheet1'!$A$1:$H$96"}</definedName>
    <definedName name="зщ" hidden="1">{"'Sheet1'!$A$1:$G$96","'Sheet1'!$A$1:$H$96"}</definedName>
    <definedName name="зщшг" localSheetId="2" hidden="1">{"glc1",#N/A,FALSE,"GLC";"glc2",#N/A,FALSE,"GLC";"glc3",#N/A,FALSE,"GLC";"glc4",#N/A,FALSE,"GLC";"glc5",#N/A,FALSE,"GLC"}</definedName>
    <definedName name="зщшг" hidden="1">{"glc1",#N/A,FALSE,"GLC";"glc2",#N/A,FALSE,"GLC";"glc3",#N/A,FALSE,"GLC";"glc4",#N/A,FALSE,"GLC";"glc5",#N/A,FALSE,"GLC"}</definedName>
    <definedName name="и" localSheetId="2" hidden="1">{"'9'!$A$1:$S$99"}</definedName>
    <definedName name="и" hidden="1">{"'9'!$A$1:$S$99"}</definedName>
    <definedName name="измен" localSheetId="2" hidden="1">{#N/A,#N/A,FALSE,"Год 99."}</definedName>
    <definedName name="измен" hidden="1">{#N/A,#N/A,FALSE,"Год 99."}</definedName>
    <definedName name="изменение" localSheetId="2" hidden="1">{#N/A,#N/A,FALSE,"Год 99."}</definedName>
    <definedName name="изменение" hidden="1">{#N/A,#N/A,FALSE,"Год 99."}</definedName>
    <definedName name="изывпрхц3" localSheetId="2" hidden="1">{0,0}</definedName>
    <definedName name="изывпрхц3" hidden="1">{0,0}</definedName>
    <definedName name="ии" localSheetId="2" hidden="1">{#N/A,#N/A,TRUE,"Буржуям"}</definedName>
    <definedName name="ии" hidden="1">{#N/A,#N/A,TRUE,"Буржуям"}</definedName>
    <definedName name="иии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и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иии">#REF!</definedName>
    <definedName name="ИК" localSheetId="2">#REF!</definedName>
    <definedName name="ИК">#REF!</definedName>
    <definedName name="им" localSheetId="2" hidden="1">{#VALUE!,#N/A,TRUE,0}</definedName>
    <definedName name="им" hidden="1">{#VALUE!,#N/A,TRUE,0}</definedName>
    <definedName name="има" localSheetId="2" hidden="1">{#VALUE!,#N/A,TRUE,0}</definedName>
    <definedName name="има" hidden="1">{#VALUE!,#N/A,TRUE,0}</definedName>
    <definedName name="ИменованныйДиапазон1">#REF!</definedName>
    <definedName name="имився" localSheetId="2" hidden="1">{"'РП (2)'!$A$5:$S$150"}</definedName>
    <definedName name="имився" hidden="1">{"'РП (2)'!$A$5:$S$150"}</definedName>
    <definedName name="Имя" localSheetId="2" hidden="1">{#N/A,#N/A,TRUE,"Лист1";#N/A,#N/A,TRUE,"Лист2";#N/A,#N/A,TRUE,"Лист3"}</definedName>
    <definedName name="Имя" hidden="1">{#N/A,#N/A,TRUE,"Лист1";#N/A,#N/A,TRUE,"Лист2";#N/A,#N/A,TRUE,"Лист3"}</definedName>
    <definedName name="инвестиции" localSheetId="2" hidden="1">{"баланс",#N/A,TRUE,"Баланс  на  декабрь"}</definedName>
    <definedName name="инвестиции" hidden="1">{"баланс",#N/A,TRUE,"Баланс  на  декабрь"}</definedName>
    <definedName name="индцкавг98" localSheetId="2" hidden="1">{#N/A,#N/A,TRUE,"Лист1";#N/A,#N/A,TRUE,"Лист2";#N/A,#N/A,TRUE,"Лист3"}</definedName>
    <definedName name="индцкавг98" hidden="1">{#N/A,#N/A,TRUE,"Лист1";#N/A,#N/A,TRUE,"Лист2";#N/A,#N/A,TRUE,"Лист3"}</definedName>
    <definedName name="ира" localSheetId="2" hidden="1">{#N/A,#N/A,TRUE,"Буржуям"}</definedName>
    <definedName name="ира" hidden="1">{#N/A,#N/A,TRUE,"Буржуям"}</definedName>
    <definedName name="иряв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ряв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исп" localSheetId="2" hidden="1">{"'РП (2)'!$A$5:$S$150"}</definedName>
    <definedName name="исп" hidden="1">{"'РП (2)'!$A$5:$S$150"}</definedName>
    <definedName name="исп06" localSheetId="2" hidden="1">{"'РП (2)'!$A$5:$S$150"}</definedName>
    <definedName name="исп06" hidden="1">{"'РП (2)'!$A$5:$S$150"}</definedName>
    <definedName name="исп062" localSheetId="2" hidden="1">{"'РП (2)'!$A$5:$S$150"}</definedName>
    <definedName name="исп062" hidden="1">{"'РП (2)'!$A$5:$S$150"}</definedName>
    <definedName name="Исполнение">{#N/A,#N/A,FALSE,"Лист15"}</definedName>
    <definedName name="Источник" localSheetId="2">#REF!</definedName>
    <definedName name="Источник">#REF!</definedName>
    <definedName name="Исходные">#REF!</definedName>
    <definedName name="ит" localSheetId="2" hidden="1">{#N/A,#N/A,TRUE,"Буржуям"}</definedName>
    <definedName name="ит" hidden="1">{#N/A,#N/A,TRUE,"Буржуям"}</definedName>
    <definedName name="ит6" localSheetId="2" hidden="1">{"'Sheet1'!$A$1:$G$96","'Sheet1'!$A$1:$H$96"}</definedName>
    <definedName name="ит6" hidden="1">{"'Sheet1'!$A$1:$G$96","'Sheet1'!$A$1:$H$96"}</definedName>
    <definedName name="ИТМС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ТМС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ито">#REF!</definedName>
    <definedName name="Итог3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Итог3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ить">#REF!</definedName>
    <definedName name="июлбиюнь" localSheetId="2" hidden="1">{"'РП (2)'!$A$5:$S$150"}</definedName>
    <definedName name="июлбиюнь" hidden="1">{"'РП (2)'!$A$5:$S$150"}</definedName>
    <definedName name="июль" localSheetId="2" hidden="1">{"'РП (2)'!$A$5:$S$150"}</definedName>
    <definedName name="июль" hidden="1">{"'РП (2)'!$A$5:$S$150"}</definedName>
    <definedName name="июнь" localSheetId="2" hidden="1">{#N/A,#N/A,TRUE,"Буржуям"}</definedName>
    <definedName name="июнь" hidden="1">{#N/A,#N/A,TRUE,"Буржуям"}</definedName>
    <definedName name="ііі" localSheetId="2" hidden="1">{"MONA",#N/A,FALSE,"S"}</definedName>
    <definedName name="ііі" hidden="1">{"MONA",#N/A,FALSE,"S"}</definedName>
    <definedName name="й" localSheetId="2" hidden="1">{"'РП (2)'!$A$5:$S$150"}</definedName>
    <definedName name="й" hidden="1">{"'РП (2)'!$A$5:$S$150"}</definedName>
    <definedName name="й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й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й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й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й21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й2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й22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й2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й23ц" localSheetId="2" hidden="1">{"'РП (2)'!$A$5:$S$150"}</definedName>
    <definedName name="й23ц" hidden="1">{"'РП (2)'!$A$5:$S$150"}</definedName>
    <definedName name="й3" localSheetId="2" hidden="1">{"'РП (2)'!$A$5:$S$150"}</definedName>
    <definedName name="й3" hidden="1">{"'РП (2)'!$A$5:$S$150"}</definedName>
    <definedName name="йй">{#N/A,#N/A,FALSE,"Лист15"}</definedName>
    <definedName name="ййй" localSheetId="2" hidden="1">#REF!</definedName>
    <definedName name="ййй" hidden="1">#REF!</definedName>
    <definedName name="йййййййй" localSheetId="2" hidden="1">{#N/A,#N/A,TRUE,"Буржуям"}</definedName>
    <definedName name="йййййййй" hidden="1">{#N/A,#N/A,TRUE,"Буржуям"}</definedName>
    <definedName name="йц" localSheetId="2" hidden="1">{"'РП (2)'!$A$5:$S$150"}</definedName>
    <definedName name="йц" hidden="1">{"'РП (2)'!$A$5:$S$150"}</definedName>
    <definedName name="йцавйа" localSheetId="2" hidden="1">{"'РП (2)'!$A$5:$S$150"}</definedName>
    <definedName name="йцавйа" hidden="1">{"'РП (2)'!$A$5:$S$150"}</definedName>
    <definedName name="йцу" localSheetId="2" hidden="1">{"'РП (2)'!$A$5:$S$150"}</definedName>
    <definedName name="йцу" hidden="1">{"'РП (2)'!$A$5:$S$150"}</definedName>
    <definedName name="йцув">#REF!</definedName>
    <definedName name="йцуке">#REF!</definedName>
    <definedName name="ЙЦУКЙЦУК" localSheetId="2" hidden="1">{#VALUE!,#N/A,TRUE,0}</definedName>
    <definedName name="ЙЦУКЙЦУК" hidden="1">{#VALUE!,#N/A,TRUE,0}</definedName>
    <definedName name="йцуу" hidden="1">#REF!</definedName>
    <definedName name="йцуцуцу" localSheetId="2" hidden="1">{"'РП (2)'!$A$5:$S$150"}</definedName>
    <definedName name="йцуцуцу" hidden="1">{"'РП (2)'!$A$5:$S$150"}</definedName>
    <definedName name="к" localSheetId="2">#REF!</definedName>
    <definedName name="к">#REF!</definedName>
    <definedName name="каврне" localSheetId="2" hidden="1">{"'9'!$A$1:$S$99"}</definedName>
    <definedName name="каврне" hidden="1">{"'9'!$A$1:$S$99"}</definedName>
    <definedName name="кал">{#N/A,#N/A,FALSE,"Лист15"}</definedName>
    <definedName name="кап" localSheetId="2">#REF!</definedName>
    <definedName name="кап">#REF!</definedName>
    <definedName name="капрас" localSheetId="2">#REF!</definedName>
    <definedName name="капрас">#REF!</definedName>
    <definedName name="капрем" localSheetId="2">#REF!</definedName>
    <definedName name="капрем">#REF!</definedName>
    <definedName name="Карточка">#REF!</definedName>
    <definedName name="Каскад_Дата">#REF!</definedName>
    <definedName name="Каскад_Код_ДДС">#REF!</definedName>
    <definedName name="Каскад_Получатель_ДС">#REF!</definedName>
    <definedName name="Каскад_Сумма__руб.">#REF!</definedName>
    <definedName name="Категория">#NAME?</definedName>
    <definedName name="КатегорияВыбранная">#NAME?</definedName>
    <definedName name="кау" localSheetId="2" hidden="1">{"assets",#N/A,FALSE,"historicBS";"liab",#N/A,FALSE,"historicBS";"is",#N/A,FALSE,"historicIS";"ratios",#N/A,FALSE,"ratios"}</definedName>
    <definedName name="кау" hidden="1">{"assets",#N/A,FALSE,"historicBS";"liab",#N/A,FALSE,"historicBS";"is",#N/A,FALSE,"historicIS";"ratios",#N/A,FALSE,"ratios"}</definedName>
    <definedName name="квя">#REF!</definedName>
    <definedName name="ке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е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е34" hidden="1">#REF!</definedName>
    <definedName name="кееннгш" localSheetId="2" hidden="1">{"'РП (2)'!$A$5:$S$150"}</definedName>
    <definedName name="кееннгш" hidden="1">{"'РП (2)'!$A$5:$S$150"}</definedName>
    <definedName name="кекекеек" localSheetId="2" hidden="1">{"konoplin - Личное представление",#N/A,TRUE,"ФинПлан_1кв";"konoplin - Личное представление",#N/A,TRUE,"ФинПлан_2кв"}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ен" hidden="1">#NAME?</definedName>
    <definedName name="кенгшлд" localSheetId="2" hidden="1">{0,0}</definedName>
    <definedName name="кенгшлд" hidden="1">{0,0}</definedName>
    <definedName name="кенре" hidden="1">#REF!</definedName>
    <definedName name="кепквп">#REF!,#REF!,#REF!,#REF!,#REF!,#REF!,#REF!,#REF!,#REF!,#REF!,#REF!,#REF!</definedName>
    <definedName name="кеппппппппппп" localSheetId="2" hidden="1">{#N/A,#N/A,TRUE,"Лист1";#N/A,#N/A,TRUE,"Лист2";#N/A,#N/A,TRUE,"Лист3"}</definedName>
    <definedName name="кеппппппппппп" hidden="1">{#N/A,#N/A,TRUE,"Лист1";#N/A,#N/A,TRUE,"Лист2";#N/A,#N/A,TRUE,"Лист3"}</definedName>
    <definedName name="кеу" localSheetId="2" hidden="1">{"баланс",#N/A,TRUE,"Баланс  на  декабрь"}</definedName>
    <definedName name="кеу" hidden="1">{"баланс",#N/A,TRUE,"Баланс  на  декабрь"}</definedName>
    <definedName name="кеу2" hidden="1">#REF!</definedName>
    <definedName name="КЕУКЕУКЕ" localSheetId="2" hidden="1">{#N/A,#N/A,TRUE,"Буржуям"}</definedName>
    <definedName name="КЕУКЕУКЕ" hidden="1">{#N/A,#N/A,TRUE,"Буржуям"}</definedName>
    <definedName name="КЕУКПУПКУКП" localSheetId="2" hidden="1">{#N/A,#N/A,TRUE,"Буржуям"}</definedName>
    <definedName name="КЕУКПУПКУКП" hidden="1">{#N/A,#N/A,TRUE,"Буржуям"}</definedName>
    <definedName name="КЗ" hidden="1">#REF!</definedName>
    <definedName name="КИП" localSheetId="2" hidden="1">{#N/A,#N/A,TRUE,"Summary"}</definedName>
    <definedName name="КИП" hidden="1">{#N/A,#N/A,TRUE,"Summary"}</definedName>
    <definedName name="Кипр" hidden="1">#REF!</definedName>
    <definedName name="ккк" localSheetId="2" hidden="1">{"vi1",#N/A,FALSE,"Financial Statements";"vi2",#N/A,FALSE,"Financial Statements";#N/A,#N/A,FALSE,"DCF"}</definedName>
    <definedName name="ккк" hidden="1">{"vi1",#N/A,FALSE,"Financial Statements";"vi2",#N/A,FALSE,"Financial Statements";#N/A,#N/A,FALSE,"DCF"}</definedName>
    <definedName name="КККККККК" localSheetId="2" hidden="1">{#N/A,#N/A,TRUE,"Буржуям"}</definedName>
    <definedName name="КККККККК" hidden="1">{#N/A,#N/A,TRUE,"Буржуям"}</definedName>
    <definedName name="КККККУУУ" localSheetId="2" hidden="1">{#N/A,#N/A,TRUE,"Буржуям"}</definedName>
    <definedName name="КККККУУУ" hidden="1">{#N/A,#N/A,TRUE,"Буржуям"}</definedName>
    <definedName name="ккм" hidden="1">#REF!</definedName>
    <definedName name="КМЭЗ" hidden="1">#REF!</definedName>
    <definedName name="кнг" localSheetId="2" hidden="1">{#N/A,#N/A,FALSE,"ACQ_GRAPHS";#N/A,#N/A,FALSE,"T_1 GRAPHS";#N/A,#N/A,FALSE,"T_2 GRAPHS";#N/A,#N/A,FALSE,"COMB_GRAPHS"}</definedName>
    <definedName name="кнг" hidden="1">{#N/A,#N/A,FALSE,"ACQ_GRAPHS";#N/A,#N/A,FALSE,"T_1 GRAPHS";#N/A,#N/A,FALSE,"T_2 GRAPHS";#N/A,#N/A,FALSE,"COMB_GRAPHS"}</definedName>
    <definedName name="Количество" localSheetId="2">OFFSET(#REF!,0,0,COUNTA(#REF!),1)</definedName>
    <definedName name="Количество">OFFSET(#REF!,0,0,COUNTA(#REF!),1)</definedName>
    <definedName name="ком" localSheetId="2" hidden="1">{#N/A,#N/A,FALSE,"activity"}</definedName>
    <definedName name="ком" hidden="1">{#N/A,#N/A,FALSE,"activity"}</definedName>
    <definedName name="Конвертация">#NAME?</definedName>
    <definedName name="конф" localSheetId="2" hidden="1">{"'РП (2)'!$A$5:$S$150"}</definedName>
    <definedName name="конф" hidden="1">{"'РП (2)'!$A$5:$S$150"}</definedName>
    <definedName name="копия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опия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опия2" localSheetId="2" hidden="1">{#N/A,#N/A,FALSE,"Aging Summary";#N/A,#N/A,FALSE,"Ratio Analysis";#N/A,#N/A,FALSE,"Test 120 Day Accts";#N/A,#N/A,FALSE,"Tickmarks"}</definedName>
    <definedName name="копия2" hidden="1">{#N/A,#N/A,FALSE,"Aging Summary";#N/A,#N/A,FALSE,"Ratio Analysis";#N/A,#N/A,FALSE,"Test 120 Day Accts";#N/A,#N/A,FALSE,"Tickmarks"}</definedName>
    <definedName name="Коробка_передач">#NAME?</definedName>
    <definedName name="корова" localSheetId="2" hidden="1">{#N/A,#N/A,TRUE,"Буржуям"}</definedName>
    <definedName name="корова" hidden="1">{#N/A,#N/A,TRUE,"Буржуям"}</definedName>
    <definedName name="Корректироки">{"'Всего'!$A$1:$F$19"}</definedName>
    <definedName name="Корунд_Дата">#REF!</definedName>
    <definedName name="Корунд_Код_ДДС">#REF!</definedName>
    <definedName name="Корунд_Получатель_ДС">#REF!</definedName>
    <definedName name="Корунд_Сумма__руб.">#REF!</definedName>
    <definedName name="КоэффицентГорода">#NAME?</definedName>
    <definedName name="кп" localSheetId="2" hidden="1">{#N/A,#N/A,TRUE,"Буржуям"}</definedName>
    <definedName name="кп" hidden="1">{#N/A,#N/A,TRUE,"Буржуям"}</definedName>
    <definedName name="кп9цй" localSheetId="2" hidden="1">{0,0}</definedName>
    <definedName name="кп9цй" hidden="1">{0,0}</definedName>
    <definedName name="кпекнпек">#REF!,#REF!,#REF!,#REF!,#REF!,#REF!,#REF!,#REF!,#REF!,#REF!,#REF!,#REF!</definedName>
    <definedName name="КПКУ">#REF!</definedName>
    <definedName name="кпч">#REF!,#REF!,#REF!,#REF!,#REF!</definedName>
    <definedName name="кпыкьплоаолвповтпвтыаоивоип">#REF!,#REF!,#REF!,#REF!,#REF!,#REF!,#REF!,#REF!,#REF!,#REF!,#REF!,#REF!,#REF!</definedName>
    <definedName name="кпыры" localSheetId="2" hidden="1">{#N/A,#N/A,TRUE,"Буржуям"}</definedName>
    <definedName name="кпыры" hidden="1">{#N/A,#N/A,TRUE,"Буржуям"}</definedName>
    <definedName name="КПЭ" localSheetId="2">#REF!</definedName>
    <definedName name="КПЭ">#REF!</definedName>
    <definedName name="кпэ_123">#REF!</definedName>
    <definedName name="кпя">#REF!,#REF!,#REF!,#REF!,#REF!,#REF!,#REF!,#REF!</definedName>
    <definedName name="КР" localSheetId="2" hidden="1">{"'Sheet1'!$A$1:$G$96","'Sheet1'!$A$1:$H$96"}</definedName>
    <definedName name="КР" hidden="1">{"'Sheet1'!$A$1:$G$96","'Sheet1'!$A$1:$H$96"}</definedName>
    <definedName name="КРАСНОЯРСК" localSheetId="2" hidden="1">{"'РП (2)'!$A$5:$S$150"}</definedName>
    <definedName name="КРАСНОЯРСК" hidden="1">{"'РП (2)'!$A$5:$S$150"}</definedName>
    <definedName name="Кредит" localSheetId="2" hidden="1">{"баланс",#N/A,TRUE,"Баланс  на  декабрь"}</definedName>
    <definedName name="Кредит" hidden="1">{"баланс",#N/A,TRUE,"Баланс  на  декабрь"}</definedName>
    <definedName name="кро" hidden="1">#REF!</definedName>
    <definedName name="крфр" localSheetId="2" hidden="1">{#N/A,#N/A,TRUE,"Буржуям"}</definedName>
    <definedName name="крфр" hidden="1">{#N/A,#N/A,TRUE,"Буржуям"}</definedName>
    <definedName name="КСБ1">#REF!</definedName>
    <definedName name="КТ2" localSheetId="1" hidden="1">MAIN.SAPF4HELP()</definedName>
    <definedName name="КТ2" localSheetId="2" hidden="1">MAIN.SAPF4HELP()</definedName>
    <definedName name="КТ2" hidden="1">MAIN.SAPF4HELP()</definedName>
    <definedName name="КУАП_евро">#NAME?</definedName>
    <definedName name="КУАПЕУР">#REF!</definedName>
    <definedName name="куг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у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уку" localSheetId="2" hidden="1">{"'РП (2)'!$A$5:$S$150"}</definedName>
    <definedName name="куку" hidden="1">{"'РП (2)'!$A$5:$S$150"}</definedName>
    <definedName name="кукук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кукук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КУННГ">#REF!,#REF!,#REF!,#REF!,#REF!,#REF!,#REF!,#REF!,#REF!,#REF!,#REF!,#REF!,#REF!</definedName>
    <definedName name="КУРКН">#REF!</definedName>
    <definedName name="КУРКУ">#REF!</definedName>
    <definedName name="курс_долл">#NAME?</definedName>
    <definedName name="курс_долл_план">#NAME?</definedName>
    <definedName name="курс_евро_план">#NAME?</definedName>
    <definedName name="КУУКЕ54">#REF!</definedName>
    <definedName name="куцй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куцй" hidden="1">{#N/A,#N/A,FALSE,"INPUTS";#N/A,#N/A,FALSE,"PROFORMA BSHEET";#N/A,#N/A,FALSE,"COMBINED";#N/A,#N/A,FALSE,"ACQUIROR";#N/A,#N/A,FALSE,"TARGET 1";#N/A,#N/A,FALSE,"TARGET 2";#N/A,#N/A,FALSE,"HIGH YIELD";#N/A,#N/A,FALSE,"OVERFUND"}</definedName>
    <definedName name="куцк">#REF!</definedName>
    <definedName name="куяпыу">#REF!,#REF!</definedName>
    <definedName name="кфкр" localSheetId="2" hidden="1">{#N/A,#N/A,TRUE,"Буржуям"}</definedName>
    <definedName name="кфкр" hidden="1">{#N/A,#N/A,TRUE,"Буржуям"}</definedName>
    <definedName name="кынлыки" localSheetId="2" hidden="1">{0,0}</definedName>
    <definedName name="кынлыки" hidden="1">{0,0}</definedName>
    <definedName name="кырп" localSheetId="2" hidden="1">{#VALUE!,#N/A,TRUE,0}</definedName>
    <definedName name="кырп" hidden="1">{#VALUE!,#N/A,TRUE,0}</definedName>
    <definedName name="кыу">#REF!</definedName>
    <definedName name="кэн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кэ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">{#N/A,"DR",FALSE,"increm pf";#N/A,"MAMSI",FALSE,"increm pf";#N/A,"MAXI",FALSE,"increm pf";#N/A,"PCAM",FALSE,"increm pf";#N/A,"PHSV",FALSE,"increm pf";#N/A,"SIE",FALSE,"increm pf"}</definedName>
    <definedName name="ла" localSheetId="2" hidden="1">{#N/A,#N/A,TRUE,"Буржуям"}</definedName>
    <definedName name="ла" hidden="1">{#N/A,#N/A,TRUE,"Буржуям"}</definedName>
    <definedName name="лагл" localSheetId="2" hidden="1">{#N/A,#N/A,TRUE,"Буржуям"}</definedName>
    <definedName name="лагл" hidden="1">{#N/A,#N/A,TRUE,"Буржуям"}</definedName>
    <definedName name="лао" localSheetId="2" hidden="1">{#N/A,#N/A,FALSE,"Virgin Flightdeck"}</definedName>
    <definedName name="лао" hidden="1">{#N/A,#N/A,FALSE,"Virgin Flightdeck"}</definedName>
    <definedName name="лаопнре" localSheetId="2" hidden="1">{"'РП (2)'!$A$5:$S$150"}</definedName>
    <definedName name="лаопнре" hidden="1">{"'РП (2)'!$A$5:$S$150"}</definedName>
    <definedName name="лббд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ббд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гагл" localSheetId="2" hidden="1">{"'9'!$A$1:$S$99"}</definedName>
    <definedName name="лгагл" hidden="1">{"'9'!$A$1:$S$99"}</definedName>
    <definedName name="лгал" localSheetId="2" hidden="1">{#N/A,#N/A,TRUE,"Буржуям"}</definedName>
    <definedName name="лгал" hidden="1">{#N/A,#N/A,TRUE,"Буржуям"}</definedName>
    <definedName name="лгл" localSheetId="2" hidden="1">{#N/A,#N/A,TRUE,"Буржуям"}</definedName>
    <definedName name="лгл" hidden="1">{#N/A,#N/A,TRUE,"Буржуям"}</definedName>
    <definedName name="лд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д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дбвендблн" localSheetId="2" hidden="1">{0,0}</definedName>
    <definedName name="лдбвендблн" hidden="1">{0,0}</definedName>
    <definedName name="лдж" localSheetId="2" hidden="1">{#N/A,#N/A,TRUE,"Буржуям"}</definedName>
    <definedName name="лдж" hidden="1">{#N/A,#N/A,TRUE,"Буржуям"}</definedName>
    <definedName name="лдоп" localSheetId="2" hidden="1">{#N/A,#N/A,TRUE,"Буржуям"}</definedName>
    <definedName name="лдоп" hidden="1">{#N/A,#N/A,TRUE,"Буржуям"}</definedName>
    <definedName name="лен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е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ист" localSheetId="2" hidden="1">{"Valuation_Common",#N/A,FALSE,"Valuation"}</definedName>
    <definedName name="лист" hidden="1">{"Valuation_Common",#N/A,FALSE,"Valuation"}</definedName>
    <definedName name="лл" localSheetId="2" hidden="1">{#VALUE!,#N/A,TRUE,0}</definedName>
    <definedName name="лл" hidden="1">{#VALUE!,#N/A,TRUE,0}</definedName>
    <definedName name="ллл" localSheetId="2" hidden="1">{"'Sheet1'!$A$1:$G$96","'Sheet1'!$A$1:$H$96"}</definedName>
    <definedName name="ллл" hidden="1">{"'Sheet1'!$A$1:$G$96","'Sheet1'!$A$1:$H$96"}</definedName>
    <definedName name="лллл" localSheetId="2" hidden="1">{#VALUE!,#N/A,TRUE,0}</definedName>
    <definedName name="лллл" hidden="1">{#VALUE!,#N/A,TRUE,0}</definedName>
    <definedName name="ллллл" hidden="1">#REF!</definedName>
    <definedName name="лллллллллллл" localSheetId="2" hidden="1">{"Valuation_Common",#N/A,FALSE,"Valuation"}</definedName>
    <definedName name="лллллллллллл" hidden="1">{"Valuation_Common",#N/A,FALSE,"Valuation"}</definedName>
    <definedName name="ллюд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люд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о" localSheetId="2" hidden="1">{"glc1",#N/A,FALSE,"GLC";"glc2",#N/A,FALSE,"GLC";"glc3",#N/A,FALSE,"GLC";"glc4",#N/A,FALSE,"GLC";"glc5",#N/A,FALSE,"GLC"}</definedName>
    <definedName name="ло" hidden="1">{"glc1",#N/A,FALSE,"GLC";"glc2",#N/A,FALSE,"GLC";"glc3",#N/A,FALSE,"GLC";"glc4",#N/A,FALSE,"GLC";"glc5",#N/A,FALSE,"GLC"}</definedName>
    <definedName name="ЛОАВПЛОАУ\">#REF!,#REF!,#REF!,#REF!,#REF!,#REF!,#REF!,#REF!,#REF!,#REF!,#REF!</definedName>
    <definedName name="лоавпролварполварполав" localSheetId="2" hidden="1">{"баланс",#N/A,TRUE,"Баланс  на  декабрь"}</definedName>
    <definedName name="лоавпролварполварполав" hidden="1">{"баланс",#N/A,TRUE,"Баланс  на  декабрь"}</definedName>
    <definedName name="лолад" localSheetId="2" hidden="1">{#N/A,#N/A,FALSE,"Год 99."}</definedName>
    <definedName name="лолад" hidden="1">{#N/A,#N/A,FALSE,"Год 99."}</definedName>
    <definedName name="лоло" localSheetId="2" hidden="1">{"'Sheet1'!$A$1:$G$96","'Sheet1'!$A$1:$H$96"}</definedName>
    <definedName name="лоло" hidden="1">{"'Sheet1'!$A$1:$G$96","'Sheet1'!$A$1:$H$96"}</definedName>
    <definedName name="лоп" localSheetId="2" hidden="1">{#N/A,#N/A,TRUE,"Буржуям"}</definedName>
    <definedName name="лоп" hidden="1">{#N/A,#N/A,TRUE,"Буржуям"}</definedName>
    <definedName name="лопнав" localSheetId="2" hidden="1">{"'РП (2)'!$A$5:$S$150"}</definedName>
    <definedName name="лопнав" hidden="1">{"'РП (2)'!$A$5:$S$150"}</definedName>
    <definedName name="ЛОПОРП" localSheetId="2" hidden="1">{#VALUE!,#N/A,TRUE,0}</definedName>
    <definedName name="ЛОПОРП" hidden="1">{#VALUE!,#N/A,TRUE,0}</definedName>
    <definedName name="ЛОПР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ПР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лор" localSheetId="2" hidden="1">{#N/A,#N/A,TRUE,"Буржуям"}</definedName>
    <definedName name="лор" hidden="1">{#N/A,#N/A,TRUE,"Буржуям"}</definedName>
    <definedName name="лорга">#REF!</definedName>
    <definedName name="ЛОРЛГПАОА">#REF!</definedName>
    <definedName name="ЛОРП">#REF!</definedName>
    <definedName name="лорпа" localSheetId="2" hidden="1">{"'РП (2)'!$A$5:$S$150"}</definedName>
    <definedName name="лорпа" hidden="1">{"'РП (2)'!$A$5:$S$150"}</definedName>
    <definedName name="ЛОРПАВ">#REF!,#REF!,#REF!,#REF!,#REF!,#REF!,#REF!,#REF!,#REF!,#REF!,#REF!,#REF!</definedName>
    <definedName name="лот">#REF!</definedName>
    <definedName name="ЛПЛПАЬЛ">#REF!</definedName>
    <definedName name="лпопге" localSheetId="2" hidden="1">{"'РП (2)'!$A$5:$S$150"}</definedName>
    <definedName name="лпопге" hidden="1">{"'РП (2)'!$A$5:$S$150"}</definedName>
    <definedName name="лро" localSheetId="2" hidden="1">{#N/A,#N/A,FALSE,"Год 99."}</definedName>
    <definedName name="лро" hidden="1">{#N/A,#N/A,FALSE,"Год 99."}</definedName>
    <definedName name="лрол" localSheetId="2" hidden="1">{#N/A,#N/A,FALSE,"Год 99."}</definedName>
    <definedName name="лрол" hidden="1">{#N/A,#N/A,FALSE,"Год 99."}</definedName>
    <definedName name="лропг" localSheetId="2" hidden="1">{"'РП (2)'!$A$5:$S$150"}</definedName>
    <definedName name="лропг" hidden="1">{"'РП (2)'!$A$5:$S$150"}</definedName>
    <definedName name="лрпор">#REF!</definedName>
    <definedName name="лсит" localSheetId="2" hidden="1">{"баланс",#N/A,TRUE,"Баланс  на  декабрь"}</definedName>
    <definedName name="лсит" hidden="1">{"баланс",#N/A,TRUE,"Баланс  на  декабрь"}</definedName>
    <definedName name="ЛТС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ЛТС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льп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ь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ьт">#REF!</definedName>
    <definedName name="люо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ю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люрпывпу" localSheetId="2" hidden="1">{"'РП (2)'!$A$5:$S$150"}</definedName>
    <definedName name="люрпывпу" hidden="1">{"'РП (2)'!$A$5:$S$150"}</definedName>
    <definedName name="Ля" localSheetId="2" hidden="1">{"'Sheet1'!$A$1:$G$96","'Sheet1'!$A$1:$H$96"}</definedName>
    <definedName name="Ля" hidden="1">{"'Sheet1'!$A$1:$G$96","'Sheet1'!$A$1:$H$96"}</definedName>
    <definedName name="лямт" localSheetId="2" hidden="1">{"баланс",#N/A,TRUE,"Баланс  на  декабрь"}</definedName>
    <definedName name="лямт" hidden="1">{"баланс",#N/A,TRUE,"Баланс  на  декабрь"}</definedName>
    <definedName name="м" localSheetId="2" hidden="1">{"'9'!$A$1:$S$99"}</definedName>
    <definedName name="м" hidden="1">{"'9'!$A$1:$S$99"}</definedName>
    <definedName name="М2.01.08" localSheetId="2" hidden="1">{#N/A,#N/A,TRUE,"Буржуям"}</definedName>
    <definedName name="М2.01.08" hidden="1">{#N/A,#N/A,TRUE,"Буржуям"}</definedName>
    <definedName name="мАБС" localSheetId="2">#REF!</definedName>
    <definedName name="мАБС">#REF!</definedName>
    <definedName name="МАВИПАРЕК">#REF!</definedName>
    <definedName name="МАДЬКДЖУЬПД">#REF!</definedName>
    <definedName name="Макрос1" localSheetId="2">#REF!</definedName>
    <definedName name="Макрос1">#REF!</definedName>
    <definedName name="мапор" localSheetId="2" hidden="1">{"'Sheet1'!$A$1:$G$85"}</definedName>
    <definedName name="мапор" hidden="1">{"'Sheet1'!$A$1:$G$85"}</definedName>
    <definedName name="Мар" localSheetId="2" hidden="1">{"баланс",#N/A,TRUE,"Баланс  на  декабрь"}</definedName>
    <definedName name="Мар" hidden="1">{"баланс",#N/A,TRUE,"Баланс  на  декабрь"}</definedName>
    <definedName name="маржа_АБ">#NAME?</definedName>
    <definedName name="маржа_АБ_cf">#NAME?</definedName>
    <definedName name="маржа_АБ_mf">#NAME?</definedName>
    <definedName name="Марка">#REF!</definedName>
    <definedName name="МаркаДано">#NAME?</definedName>
    <definedName name="МаркаМодель">#REF!</definedName>
    <definedName name="март2" localSheetId="2" hidden="1">{#N/A,#N/A,TRUE,"Лист2"}</definedName>
    <definedName name="март2" hidden="1">{#N/A,#N/A,TRUE,"Лист2"}</definedName>
    <definedName name="материалы">{#N/A,#N/A,FALSE,"Лист15"}</definedName>
    <definedName name="Матрица" localSheetId="2" hidden="1">{"'РП (2)'!$A$5:$S$150"}</definedName>
    <definedName name="Матрица" hidden="1">{"'РП (2)'!$A$5:$S$150"}</definedName>
    <definedName name="Махалов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ахал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мВВП" localSheetId="2">#REF!</definedName>
    <definedName name="мВВП">#REF!</definedName>
    <definedName name="мДепФизЛицам" localSheetId="2">#REF!</definedName>
    <definedName name="мДепФизЛицам">#REF!</definedName>
    <definedName name="мДепЮрЛицам" localSheetId="2">#REF!</definedName>
    <definedName name="мДепЮрЛицам">#REF!</definedName>
    <definedName name="мДоляАБСвВВП">#REF!</definedName>
    <definedName name="мес" localSheetId="2" hidden="1">{"баланс",#N/A,TRUE,"Баланс  на  декабрь"}</definedName>
    <definedName name="мес" hidden="1">{"баланс",#N/A,TRUE,"Баланс  на  декабрь"}</definedName>
    <definedName name="месяц">{"баланс",#N/A,TRUE,"Баланс  на  декабрь"}</definedName>
    <definedName name="ми" localSheetId="2" hidden="1">{"баланс",#N/A,TRUE,"Баланс  на  декабрь"}</definedName>
    <definedName name="ми" hidden="1">{"баланс",#N/A,TRUE,"Баланс  на  декабрь"}</definedName>
    <definedName name="мивауры">#REF!</definedName>
    <definedName name="Микс_Дата">#REF!</definedName>
    <definedName name="Микс_Код_ДДС">#REF!</definedName>
    <definedName name="Микс_Получатель_ДС">#REF!</definedName>
    <definedName name="Микс_Сумма__руб.">#REF!</definedName>
    <definedName name="мИндПотрЦен">#REF!</definedName>
    <definedName name="миро" localSheetId="2" hidden="1">{#N/A,#N/A,TRUE,"Буржуям"}</definedName>
    <definedName name="миро" hidden="1">{#N/A,#N/A,TRUE,"Буржуям"}</definedName>
    <definedName name="мит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мит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мить" localSheetId="2" hidden="1">{#N/A,#N/A,FALSE,"ACQ_GRAPHS";#N/A,#N/A,FALSE,"T_1 GRAPHS";#N/A,#N/A,FALSE,"T_2 GRAPHS";#N/A,#N/A,FALSE,"COMB_GRAPHS"}</definedName>
    <definedName name="мить" hidden="1">{#N/A,#N/A,FALSE,"ACQ_GRAPHS";#N/A,#N/A,FALSE,"T_1 GRAPHS";#N/A,#N/A,FALSE,"T_2 GRAPHS";#N/A,#N/A,FALSE,"COMB_GRAPHS"}</definedName>
    <definedName name="мКредФизЛицам" localSheetId="2">#REF!</definedName>
    <definedName name="мКредФизЛицам">#REF!</definedName>
    <definedName name="мКредЮрЛицам" localSheetId="2">#REF!</definedName>
    <definedName name="мКредЮрЛицам">#REF!</definedName>
    <definedName name="ммм">{"'Всего'!$A$1:$F$19"}</definedName>
    <definedName name="мммм" localSheetId="2" hidden="1">{#N/A,#N/A,TRUE,"Буржуям"}</definedName>
    <definedName name="мммм" hidden="1">{#N/A,#N/A,TRUE,"Буржуям"}</definedName>
    <definedName name="мммммммммммм" localSheetId="2" hidden="1">{#N/A,#N/A,FALSE,"Год 99."}</definedName>
    <definedName name="мммммммммммм" hidden="1">{#N/A,#N/A,FALSE,"Год 99."}</definedName>
    <definedName name="ммммммммммммм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ммммммммммммм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МоделированиеКОРР">#REF!</definedName>
    <definedName name="Модуль1.CurDay" localSheetId="2">#REF!</definedName>
    <definedName name="Модуль1.CurDay">#REF!</definedName>
    <definedName name="Модуль1.Day" localSheetId="2">#REF!</definedName>
    <definedName name="Модуль1.Day">#REF!</definedName>
    <definedName name="Модуль1.DayShow">#REF!</definedName>
    <definedName name="Модуль1.kv_four">#REF!</definedName>
    <definedName name="Модуль1.kv_one">#REF!</definedName>
    <definedName name="Модуль1.kv_three">#REF!</definedName>
    <definedName name="Модуль1.kv_two">#REF!</definedName>
    <definedName name="Модуль1.SumMonthShow">#REF!</definedName>
    <definedName name="Модуль1.Year">#REF!</definedName>
    <definedName name="Модуль1.YearShow">#REF!</definedName>
    <definedName name="Модуль1.Карточка">#REF!</definedName>
    <definedName name="МОО">#REF!</definedName>
    <definedName name="МОРР">#REF!</definedName>
    <definedName name="моцарт" localSheetId="2" hidden="1">{"'РП (2)'!$A$5:$S$150"}</definedName>
    <definedName name="моцарт" hidden="1">{"'РП (2)'!$A$5:$S$150"}</definedName>
    <definedName name="мр" localSheetId="2" hidden="1">{"Товар.выработка без продаж",#N/A,FALSE,"товар"}</definedName>
    <definedName name="мр" hidden="1">{"Товар.выработка без продаж",#N/A,FALSE,"товар"}</definedName>
    <definedName name="МЬСПМПС">#REF!</definedName>
    <definedName name="мьтрпаспа" localSheetId="2" hidden="1">{#N/A,#N/A,FALSE,"Год 99."}</definedName>
    <definedName name="мьтрпаспа" hidden="1">{#N/A,#N/A,FALSE,"Год 99."}</definedName>
    <definedName name="н">#REF!</definedName>
    <definedName name="н5645" localSheetId="2" hidden="1">{"баланс",#N/A,TRUE,"Баланс  на  декабрь"}</definedName>
    <definedName name="н5645" hidden="1">{"баланс",#N/A,TRUE,"Баланс  на  декабрь"}</definedName>
    <definedName name="на" localSheetId="2" hidden="1">{"баланс",#N/A,TRUE,"Баланс  на  декабрь"}</definedName>
    <definedName name="на" hidden="1">{"баланс",#N/A,TRUE,"Баланс  на  декабрь"}</definedName>
    <definedName name="На_кого_зарегистрировано">#NAME?</definedName>
    <definedName name="нак" localSheetId="2" hidden="1">{"'Sheet1'!$A$1:$G$85"}</definedName>
    <definedName name="нак" hidden="1">{"'Sheet1'!$A$1:$G$85"}</definedName>
    <definedName name="Накладные">#NAME?</definedName>
    <definedName name="нал" localSheetId="2" hidden="1">{#VALUE!,#N/A,TRUE,0}</definedName>
    <definedName name="нал" hidden="1">{#VALUE!,#N/A,TRUE,0}</definedName>
    <definedName name="Наличие_специальных_опций__холодильные_установки__бронирование__модернизация_кузова_и_т.п.">#NAME?</definedName>
    <definedName name="налоги" localSheetId="2" hidden="1">{"'Sheet1'!$A$1:$G$96","'Sheet1'!$A$1:$H$96"}</definedName>
    <definedName name="налоги" hidden="1">{"'Sheet1'!$A$1:$G$96","'Sheet1'!$A$1:$H$96"}</definedName>
    <definedName name="налоги1" localSheetId="2" hidden="1">{#N/A,#N/A,TRUE,"Буржуям"}</definedName>
    <definedName name="налоги1" hidden="1">{#N/A,#N/A,TRUE,"Буржуям"}</definedName>
    <definedName name="налоги2" localSheetId="2" hidden="1">{"'Sheet1'!$A$1:$G$96","'Sheet1'!$A$1:$H$96"}</definedName>
    <definedName name="налоги2" hidden="1">{"'Sheet1'!$A$1:$G$96","'Sheet1'!$A$1:$H$96"}</definedName>
    <definedName name="налоги3" localSheetId="2" hidden="1">{#N/A,#N/A,TRUE,"Буржуям"}</definedName>
    <definedName name="налоги3" hidden="1">{#N/A,#N/A,TRUE,"Буржуям"}</definedName>
    <definedName name="наташа" localSheetId="2" hidden="1">{"'РП (2)'!$A$5:$S$150"}</definedName>
    <definedName name="наташа" hidden="1">{"'РП (2)'!$A$5:$S$150"}</definedName>
    <definedName name="наш10" localSheetId="2" hidden="1">{"'РП (2)'!$A$5:$S$150"}</definedName>
    <definedName name="наш10" hidden="1">{"'РП (2)'!$A$5:$S$150"}</definedName>
    <definedName name="наш5" localSheetId="2" hidden="1">{"'РП (2)'!$A$5:$S$150"}</definedName>
    <definedName name="наш5" hidden="1">{"'РП (2)'!$A$5:$S$150"}</definedName>
    <definedName name="нвнгв" localSheetId="2" hidden="1">{#N/A,#N/A,TRUE,"Буржуям"}</definedName>
    <definedName name="нвнгв" hidden="1">{#N/A,#N/A,TRUE,"Буржуям"}</definedName>
    <definedName name="нг" localSheetId="2" hidden="1">{"assets",#N/A,FALSE,"historicBS";"liab",#N/A,FALSE,"historicBS";"is",#N/A,FALSE,"historicIS";"ratios",#N/A,FALSE,"ratios"}</definedName>
    <definedName name="нг" hidden="1">{"assets",#N/A,FALSE,"historicBS";"liab",#N/A,FALSE,"historicBS";"is",#N/A,FALSE,"historicIS";"ratios",#N/A,FALSE,"ratios"}</definedName>
    <definedName name="нгвг" localSheetId="2" hidden="1">{#N/A,#N/A,TRUE,"Буржуям"}</definedName>
    <definedName name="нгвг" hidden="1">{#N/A,#N/A,TRUE,"Буржуям"}</definedName>
    <definedName name="нго" localSheetId="2" hidden="1">{"баланс",#N/A,TRUE,"Баланс  на  декабрь"}</definedName>
    <definedName name="нго" hidden="1">{"баланс",#N/A,TRUE,"Баланс  на  декабрь"}</definedName>
    <definedName name="нгшнг" localSheetId="2" hidden="1">{#N/A,#N/A,FALSE,"Год 99."}</definedName>
    <definedName name="нгшнг" hidden="1">{#N/A,#N/A,FALSE,"Год 99."}</definedName>
    <definedName name="ндлны" localSheetId="2" hidden="1">{0,0}</definedName>
    <definedName name="ндлны" hidden="1">{0,0}</definedName>
    <definedName name="нДостаточностьКапитала" localSheetId="2">#REF!</definedName>
    <definedName name="нДостаточностьКапитала">#REF!</definedName>
    <definedName name="неак">#REF!</definedName>
    <definedName name="неакву">#REF!</definedName>
    <definedName name="небо" localSheetId="2" hidden="1">{"баланс",#N/A,TRUE,"Баланс  на  декабрь"}</definedName>
    <definedName name="небо" hidden="1">{"баланс",#N/A,TRUE,"Баланс  на  декабрь"}</definedName>
    <definedName name="нег" localSheetId="2" hidden="1">{#N/A,#N/A,FALSE,"Год 99."}</definedName>
    <definedName name="нег" hidden="1">{#N/A,#N/A,FALSE,"Год 99."}</definedName>
    <definedName name="нек" localSheetId="2" hidden="1">{"'РП (2)'!$A$5:$S$150"}</definedName>
    <definedName name="нек" hidden="1">{"'РП (2)'!$A$5:$S$150"}</definedName>
    <definedName name="некн" localSheetId="2" hidden="1">{"баланс",#N/A,TRUE,"Баланс  на  декабрь"}</definedName>
    <definedName name="некн" hidden="1">{"баланс",#N/A,TRUE,"Баланс  на  декабрь"}</definedName>
    <definedName name="неку">#REF!,#REF!</definedName>
    <definedName name="некуцй" localSheetId="2" hidden="1">{"'РП (2)'!$A$5:$S$150"}</definedName>
    <definedName name="некуцй" hidden="1">{"'РП (2)'!$A$5:$S$150"}</definedName>
    <definedName name="ненеенкенннннннннннннннннннннн" localSheetId="2" hidden="1">{"баланс",#N/A,TRUE,"Баланс  на  декабрь"}</definedName>
    <definedName name="ненеенкенннннннннннннннннннннн" hidden="1">{"баланс",#N/A,TRUE,"Баланс  на  декабрь"}</definedName>
    <definedName name="непнен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епне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Непонятно">#REF!</definedName>
    <definedName name="Нестандартная_окраска_кузова">#NAME?</definedName>
    <definedName name="нет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1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10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11" localSheetId="2" hidden="1">{"'РП (2)'!$A$5:$S$150"}</definedName>
    <definedName name="нет11" hidden="1">{"'РП (2)'!$A$5:$S$150"}</definedName>
    <definedName name="нет1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1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13" localSheetId="2" hidden="1">{"'РП (2)'!$A$5:$S$150"}</definedName>
    <definedName name="нет13" hidden="1">{"'РП (2)'!$A$5:$S$150"}</definedName>
    <definedName name="нет2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3" localSheetId="2" hidden="1">{"'РП (2)'!$A$5:$S$150"}</definedName>
    <definedName name="нет3" hidden="1">{"'РП (2)'!$A$5:$S$150"}</definedName>
    <definedName name="нет4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5" localSheetId="2" hidden="1">{"'РП (2)'!$A$5:$S$150"}</definedName>
    <definedName name="нет5" hidden="1">{"'РП (2)'!$A$5:$S$150"}</definedName>
    <definedName name="нет6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6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7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7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8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8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9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ет9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НЗП" localSheetId="2" hidden="1">{"баланс",#N/A,TRUE,"Баланс  на  декабрь"}</definedName>
    <definedName name="НЗП" hidden="1">{"баланс",#N/A,TRUE,"Баланс  на  декабрь"}</definedName>
    <definedName name="ни" localSheetId="2" hidden="1">{#N/A,#N/A,TRUE,"Лист2"}</definedName>
    <definedName name="ни" hidden="1">{#N/A,#N/A,TRUE,"Лист2"}</definedName>
    <definedName name="нкгкн" localSheetId="2" hidden="1">{#N/A,#N/A,FALSE,"Год 99."}</definedName>
    <definedName name="нкгкн" hidden="1">{#N/A,#N/A,FALSE,"Год 99."}</definedName>
    <definedName name="нЛимитРискаНаЗаемщика" localSheetId="2">#REF!</definedName>
    <definedName name="нЛимитРискаНаЗаемщика">#REF!</definedName>
    <definedName name="нн" localSheetId="2" hidden="1">{#N/A,#N/A,TRUE,"Буржуям"}</definedName>
    <definedName name="нн" hidden="1">{#N/A,#N/A,TRUE,"Буржуям"}</definedName>
    <definedName name="ннек" localSheetId="2" hidden="1">{"баланс",#N/A,TRUE,"Баланс  на  декабрь"}</definedName>
    <definedName name="ннек" hidden="1">{"баланс",#N/A,TRUE,"Баланс  на  декабрь"}</definedName>
    <definedName name="нннн" localSheetId="2" hidden="1">{"print95",#N/A,FALSE,"1995E.XLS";"print96",#N/A,FALSE,"1996E.XLS"}</definedName>
    <definedName name="нннн" hidden="1">{"print95",#N/A,FALSE,"1995E.XLS";"print96",#N/A,FALSE,"1996E.XLS"}</definedName>
    <definedName name="ноа" localSheetId="2" hidden="1">{#N/A,#N/A,TRUE,"Буржуям"}</definedName>
    <definedName name="ноа" hidden="1">{#N/A,#N/A,TRUE,"Буржуям"}</definedName>
    <definedName name="нов" localSheetId="2" hidden="1">{#N/A,#N/A,TRUE,"Буржуям"}</definedName>
    <definedName name="нов" hidden="1">{#N/A,#N/A,TRUE,"Буржуям"}</definedName>
    <definedName name="новое" localSheetId="2" hidden="1">{"'Sheet1'!$A$1:$G$96","'Sheet1'!$A$1:$H$96"}</definedName>
    <definedName name="новое" hidden="1">{"'Sheet1'!$A$1:$G$96","'Sheet1'!$A$1:$H$96"}</definedName>
    <definedName name="номердоговора">#REF!</definedName>
    <definedName name="нон" localSheetId="2" hidden="1">{#N/A,#N/A,TRUE,"Буржуям"}</definedName>
    <definedName name="нон" hidden="1">{#N/A,#N/A,TRUE,"Буржуям"}</definedName>
    <definedName name="ноо" localSheetId="2" hidden="1">{#N/A,#N/A,TRUE,"Буржуям"}</definedName>
    <definedName name="ноо" hidden="1">{#N/A,#N/A,TRUE,"Буржуям"}</definedName>
    <definedName name="ночь" localSheetId="2" hidden="1">{"баланс",#N/A,TRUE,"Баланс  на  декабрь"}</definedName>
    <definedName name="ночь" hidden="1">{"баланс",#N/A,TRUE,"Баланс  на  декабрь"}</definedName>
    <definedName name="ноыо" localSheetId="2" hidden="1">{#VALUE!,#N/A,TRUE,0}</definedName>
    <definedName name="ноыо" hidden="1">{#VALUE!,#N/A,TRUE,0}</definedName>
    <definedName name="нпов" localSheetId="2" hidden="1">{"'9'!$A$1:$S$99"}</definedName>
    <definedName name="нпов" hidden="1">{"'9'!$A$1:$S$99"}</definedName>
    <definedName name="нр" localSheetId="2" hidden="1">{"баланс",#N/A,TRUE,"Баланс  на  декабрь"}</definedName>
    <definedName name="нр" hidden="1">{"баланс",#N/A,TRUE,"Баланс  на  декабрь"}</definedName>
    <definedName name="о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о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о61005" localSheetId="2" hidden="1">{"print95",#N/A,FALSE,"1995E.XLS";"print96",#N/A,FALSE,"1996E.XLS"}</definedName>
    <definedName name="о61005" hidden="1">{"print95",#N/A,FALSE,"1995E.XLS";"print96",#N/A,FALSE,"1996E.XLS"}</definedName>
    <definedName name="ОАРВП">#REF!</definedName>
    <definedName name="оарнкеим" localSheetId="2" hidden="1">{"'РП (2)'!$A$5:$S$150"}</definedName>
    <definedName name="оарнкеим" hidden="1">{"'РП (2)'!$A$5:$S$150"}</definedName>
    <definedName name="Область_печати_ИМ">#REF!</definedName>
    <definedName name="ОблПравДанных1">#REF!</definedName>
    <definedName name="ОблПравДанных2">#REF!</definedName>
    <definedName name="ОблПравДанных4">#REF!</definedName>
    <definedName name="ОблПравДанных5">#REF!</definedName>
    <definedName name="ОблПравДанных7">#REF!</definedName>
    <definedName name="ОблПравДанных8">#REF!</definedName>
    <definedName name="ОблПравДанных9">#REF!</definedName>
    <definedName name="Общаясп" localSheetId="2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Общаясп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Объемы" hidden="1">#REF!</definedName>
    <definedName name="ово" localSheetId="2" hidden="1">{#N/A,#N/A,TRUE,"Буржуям"}</definedName>
    <definedName name="ово" hidden="1">{#N/A,#N/A,TRUE,"Буржуям"}</definedName>
    <definedName name="ог6рнпеа">#REF!,#REF!,#REF!,#REF!,#REF!,#REF!,#REF!,#REF!,#REF!,#REF!,#REF!,#REF!</definedName>
    <definedName name="огнемпп" localSheetId="2" hidden="1">{#N/A,#N/A,TRUE,"БДР отчет";#N/A,#N/A,TRUE,"БДДС отч";#N/A,#N/A,TRUE,"БОС"}</definedName>
    <definedName name="огнемпп" hidden="1">{#N/A,#N/A,TRUE,"БДР отчет";#N/A,#N/A,TRUE,"БДДС отч";#N/A,#N/A,TRUE,"БОС"}</definedName>
    <definedName name="ОГНПЕК">#REF!</definedName>
    <definedName name="огрнпеак">#REF!</definedName>
    <definedName name="ОГРНЬНР">#REF!</definedName>
    <definedName name="од" localSheetId="2" hidden="1">{"Valuation_Common",#N/A,FALSE,"Valuation"}</definedName>
    <definedName name="од" hidden="1">{"Valuation_Common",#N/A,FALSE,"Valuation"}</definedName>
    <definedName name="одрод" localSheetId="2" hidden="1">{"'9'!$A$1:$S$99"}</definedName>
    <definedName name="одрод" hidden="1">{"'9'!$A$1:$S$99"}</definedName>
    <definedName name="ожж" localSheetId="2" hidden="1">{#N/A,#N/A,TRUE,"Буржуям"}</definedName>
    <definedName name="ожж" hidden="1">{#N/A,#N/A,TRUE,"Буржуям"}</definedName>
    <definedName name="ожид" localSheetId="2" hidden="1">{#VALUE!,#N/A,TRUE,0}</definedName>
    <definedName name="ожид" hidden="1">{#VALUE!,#N/A,TRUE,0}</definedName>
    <definedName name="ок" localSheetId="2" hidden="1">{#N/A,#N/A,TRUE,"Буржуям"}</definedName>
    <definedName name="ок" hidden="1">{#N/A,#N/A,TRUE,"Буржуям"}</definedName>
    <definedName name="оксана" hidden="1">#REF!</definedName>
    <definedName name="оксана1" hidden="1">#REF!</definedName>
    <definedName name="оксана2" hidden="1">#REF!</definedName>
    <definedName name="окт" localSheetId="2" hidden="1">{"'Sheet1'!$A$1:$G$96","'Sheet1'!$A$1:$H$96"}</definedName>
    <definedName name="окт" hidden="1">{"'Sheet1'!$A$1:$G$96","'Sheet1'!$A$1:$H$96"}</definedName>
    <definedName name="окт." localSheetId="2" hidden="1">{"'Sheet1'!$A$1:$G$96","'Sheet1'!$A$1:$H$96"}</definedName>
    <definedName name="окт." hidden="1">{"'Sheet1'!$A$1:$G$96","'Sheet1'!$A$1:$H$96"}</definedName>
    <definedName name="олд" localSheetId="2" hidden="1">{"баланс",#N/A,TRUE,"Баланс  на  декабрь"}</definedName>
    <definedName name="олд" hidden="1">{"баланс",#N/A,TRUE,"Баланс  на  декабрь"}</definedName>
    <definedName name="олдж" localSheetId="2" hidden="1">{"Valuation_Common",#N/A,FALSE,"Valuation"}</definedName>
    <definedName name="олдж" hidden="1">{"Valuation_Common",#N/A,FALSE,"Valuation"}</definedName>
    <definedName name="олпрв" localSheetId="2" hidden="1">{"'РП (2)'!$A$5:$S$150"}</definedName>
    <definedName name="олпрв" hidden="1">{"'РП (2)'!$A$5:$S$150"}</definedName>
    <definedName name="олро" localSheetId="2" hidden="1">{0,0,1.47303628174416E-301,0;0,0,0,0;0,0,0,0;0,0,1.47303628069311E-301,0;0,0,0,0;0,0,0,0;1.13286889889322E+190,0,0,0}</definedName>
    <definedName name="олро" hidden="1">{0,0,1.47303628174416E-301,0;0,0,0,0;0,0,0,0;0,0,1.47303628069311E-301,0;0,0,0,0;0,0,0,0;1.13286889889322E+190,0,0,0}</definedName>
    <definedName name="олроло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лрол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лрт" hidden="1">#NAME?</definedName>
    <definedName name="Оля" localSheetId="2" hidden="1">{#N/A,#N/A,TRUE,"Буржуям"}</definedName>
    <definedName name="Оля" hidden="1">{#N/A,#N/A,TRUE,"Буржуям"}</definedName>
    <definedName name="онвнов" localSheetId="2" hidden="1">{#VALUE!,#N/A,TRUE,0}</definedName>
    <definedName name="онвнов" hidden="1">{#VALUE!,#N/A,TRUE,0}</definedName>
    <definedName name="онраео" localSheetId="2" hidden="1">{"'РП (2)'!$A$5:$S$150"}</definedName>
    <definedName name="онраео" hidden="1">{"'РП (2)'!$A$5:$S$150"}</definedName>
    <definedName name="оо">#REF!</definedName>
    <definedName name="ооо">{#N/A,#N/A,FALSE,"Лист15"}</definedName>
    <definedName name="оооо" localSheetId="2" hidden="1">{"баланс",#N/A,TRUE,"Баланс  на  декабрь"}</definedName>
    <definedName name="оооо" hidden="1">{"баланс",#N/A,TRUE,"Баланс  на  декабрь"}</definedName>
    <definedName name="оорп" localSheetId="2" hidden="1">{#N/A,#N/A,TRUE,"Буржуям"}</definedName>
    <definedName name="оорп" hidden="1">{#N/A,#N/A,TRUE,"Буржуям"}</definedName>
    <definedName name="оп">{#N/A,#N/A,FALSE,"Лист15"}</definedName>
    <definedName name="ОПАСАЬС">#REF!,#REF!,#REF!,#REF!,#REF!,#REF!,#REF!,#REF!</definedName>
    <definedName name="оперативно" localSheetId="2" hidden="1">{#N/A,#N/A,TRUE,"Буржуям"}</definedName>
    <definedName name="оперативно" hidden="1">{#N/A,#N/A,TRUE,"Буржуям"}</definedName>
    <definedName name="оперативное" localSheetId="2" hidden="1">{#N/A,#N/A,TRUE,"Буржуям"}</definedName>
    <definedName name="оперативное" hidden="1">{#N/A,#N/A,TRUE,"Буржуям"}</definedName>
    <definedName name="оперативные" localSheetId="2" hidden="1">{#N/A,#N/A,TRUE,"Буржуям"}</definedName>
    <definedName name="оперативные" hidden="1">{#N/A,#N/A,TRUE,"Буржуям"}</definedName>
    <definedName name="Операции_доход">#REF!</definedName>
    <definedName name="Операции_расход">#REF!</definedName>
    <definedName name="опкщохц" localSheetId="2" hidden="1">{0,0}</definedName>
    <definedName name="опкщохц" hidden="1">{0,0}</definedName>
    <definedName name="ОПР" localSheetId="2" hidden="1">{#N/A,#N/A,TRUE,"Буржуям"}</definedName>
    <definedName name="ОПР" hidden="1">{#N/A,#N/A,TRUE,"Буржуям"}</definedName>
    <definedName name="опрана" localSheetId="2" hidden="1">{"'РП (2)'!$A$5:$S$150"}</definedName>
    <definedName name="опрана" hidden="1">{"'РП (2)'!$A$5:$S$150"}</definedName>
    <definedName name="ОПРВ">#REF!</definedName>
    <definedName name="опро" localSheetId="2" hidden="1">{"баланс",#N/A,TRUE,"Баланс  на  декабрь"}</definedName>
    <definedName name="опро" hidden="1">{"баланс",#N/A,TRUE,"Баланс  на  декабрь"}</definedName>
    <definedName name="опсик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пси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псроч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опсроч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ор" localSheetId="2" hidden="1">{"баланс",#N/A,TRUE,"Баланс  на  декабрь"}</definedName>
    <definedName name="ор" hidden="1">{"баланс",#N/A,TRUE,"Баланс  на  декабрь"}</definedName>
    <definedName name="ОРА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РА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ОРАПВА">#REF!</definedName>
    <definedName name="орг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ев" localSheetId="2" hidden="1">{"'РП (2)'!$A$5:$S$150"}</definedName>
    <definedName name="орев" hidden="1">{"'РП (2)'!$A$5:$S$150"}</definedName>
    <definedName name="ори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лдрдлор" localSheetId="2" hidden="1">{#N/A,#N/A,FALSE,"activity"}</definedName>
    <definedName name="орлдрдлор" hidden="1">{#N/A,#N/A,FALSE,"activity"}</definedName>
    <definedName name="орн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П" localSheetId="2" hidden="1">{#VALUE!,#N/A,TRUE,0}</definedName>
    <definedName name="ОРП" hidden="1">{#VALUE!,#N/A,TRUE,0}</definedName>
    <definedName name="орпа">#REF!</definedName>
    <definedName name="орпнеамп" localSheetId="2" hidden="1">{"'РП (2)'!$A$5:$S$150"}</definedName>
    <definedName name="орпнеамп" hidden="1">{"'РП (2)'!$A$5:$S$150"}</definedName>
    <definedName name="ОРПОПОПО">#REF!</definedName>
    <definedName name="орпорп" localSheetId="2" hidden="1">{#VALUE!,#N/A,TRUE,0}</definedName>
    <definedName name="орпорп" hidden="1">{#VALUE!,#N/A,TRUE,0}</definedName>
    <definedName name="орт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ш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рш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сбсотр">#REF!</definedName>
    <definedName name="осбсотр1">#REF!</definedName>
    <definedName name="осбуправ">#REF!</definedName>
    <definedName name="осбуправ1">#REF!</definedName>
    <definedName name="освоение" localSheetId="2" hidden="1">{"баланс",#N/A,TRUE,"Баланс  на  декабрь"}</definedName>
    <definedName name="освоение" hidden="1">{"баланс",#N/A,TRUE,"Баланс  на  декабрь"}</definedName>
    <definedName name="Отдел_РС">#REF!</definedName>
    <definedName name="Отделы" localSheetId="2">OFFSET(#REF!,MATCH(#REF!,#REF!,0)-1,1,COUNTIF(#REF!,#REF!),1)</definedName>
    <definedName name="Отделы">OFFSET(#REF!,MATCH(#REF!,#REF!,0)-1,1,COUNTIF(#REF!,#REF!),1)</definedName>
    <definedName name="Отделы_ПО" localSheetId="2">OFFSET(#REF!,MATCH(#REF!,#REF!,0)-1,1,COUNTIF(#REF!,#REF!),1)</definedName>
    <definedName name="Отделы_ПО">OFFSET(#REF!,MATCH(#REF!,#REF!,0)-1,1,COUNTIF(#REF!,#REF!),1)</definedName>
    <definedName name="Отклонение2" localSheetId="2" hidden="1">{#N/A,#N/A,TRUE,"Лист2"}</definedName>
    <definedName name="Отклонение2" hidden="1">{#N/A,#N/A,TRUE,"Лист2"}</definedName>
    <definedName name="отпртв" localSheetId="2" hidden="1">{"'РП (2)'!$A$5:$S$150"}</definedName>
    <definedName name="отпртв" hidden="1">{"'РП (2)'!$A$5:$S$150"}</definedName>
    <definedName name="отч.июнь" hidden="1">#REF!</definedName>
    <definedName name="ОтчДаты">#NAME?</definedName>
    <definedName name="отчет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0102">#REF!</definedName>
    <definedName name="отчет1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ет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Отчёт1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Отчёт1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офоыл" localSheetId="2" hidden="1">{0,0}</definedName>
    <definedName name="офоыл" hidden="1">{0,0}</definedName>
    <definedName name="ошщш" hidden="1">#NAME?</definedName>
    <definedName name="ощ" localSheetId="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щ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ъ" localSheetId="2" hidden="1">{"'РП (2)'!$A$5:$S$150"}</definedName>
    <definedName name="оъ" hidden="1">{"'РП (2)'!$A$5:$S$150"}</definedName>
    <definedName name="п" localSheetId="2" hidden="1">{"'9'!$A$1:$S$99"}</definedName>
    <definedName name="п" hidden="1">{"'9'!$A$1:$S$99"}</definedName>
    <definedName name="п0уц" localSheetId="2" hidden="1">{0,1.02353466374284E-306}</definedName>
    <definedName name="п0уц" hidden="1">{0,1.02353466374284E-306}</definedName>
    <definedName name="па">#REF!,#REF!,#REF!,#REF!,#REF!,#REF!,#REF!,#REF!,#REF!,#REF!,#REF!,#REF!</definedName>
    <definedName name="паааиим" localSheetId="2" hidden="1">{#N/A,#N/A,TRUE,"БДР отчет";#N/A,#N/A,TRUE,"БДДС отч";#N/A,#N/A,TRUE,"БОС"}</definedName>
    <definedName name="паааиим" hidden="1">{#N/A,#N/A,TRUE,"БДР отчет";#N/A,#N/A,TRUE,"БДДС отч";#N/A,#N/A,TRUE,"БОС"}</definedName>
    <definedName name="пав">#REF!</definedName>
    <definedName name="павпв" localSheetId="2" hidden="1">{#N/A,#N/A,FALSE,"Capex";#N/A,#N/A,FALSE,"Market"}</definedName>
    <definedName name="павпв" hidden="1">{#N/A,#N/A,FALSE,"Capex";#N/A,#N/A,FALSE,"Market"}</definedName>
    <definedName name="ПАВЫ" localSheetId="2" hidden="1">{#N/A,#N/A,FALSE,"ACQ_GRAPHS";#N/A,#N/A,FALSE,"T_1 GRAPHS";#N/A,#N/A,FALSE,"T_2 GRAPHS";#N/A,#N/A,FALSE,"COMB_GRAPHS"}</definedName>
    <definedName name="ПАВЫ" hidden="1">{#N/A,#N/A,FALSE,"ACQ_GRAPHS";#N/A,#N/A,FALSE,"T_1 GRAPHS";#N/A,#N/A,FALSE,"T_2 GRAPHS";#N/A,#N/A,FALSE,"COMB_GRAPHS"}</definedName>
    <definedName name="паонвовон">#REF!</definedName>
    <definedName name="папа" localSheetId="2" hidden="1">{"konoplin - Личное представление",#N/A,TRUE,"ФинПлан_1кв";"konoplin - Личное представление",#N/A,TRUE,"ФинПлан_2кв"}</definedName>
    <definedName name="папа" hidden="1">{"konoplin - Личное представление",#N/A,TRUE,"ФинПлан_1кв";"konoplin - Личное представление",#N/A,TRUE,"ФинПлан_2кв"}</definedName>
    <definedName name="папав" localSheetId="2" hidden="1">{"'РП (2)'!$A$5:$S$150"}</definedName>
    <definedName name="папав" hidden="1">{"'РП (2)'!$A$5:$S$150"}</definedName>
    <definedName name="папр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апр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АПРОЛР">#REF!</definedName>
    <definedName name="паро" localSheetId="2" hidden="1">{"баланс",#N/A,TRUE,"Баланс  на  декабрь"}</definedName>
    <definedName name="паро" hidden="1">{"баланс",#N/A,TRUE,"Баланс  на  декабрь"}</definedName>
    <definedName name="паы" hidden="1">#NAME?</definedName>
    <definedName name="ПАЫПРОЛД" hidden="1">#REF!</definedName>
    <definedName name="ПАЬЬЛАЬПЛА">#REF!</definedName>
    <definedName name="пая">#REF!</definedName>
    <definedName name="ПВЫпа">#REF!</definedName>
    <definedName name="ПГД">#REF!</definedName>
    <definedName name="ПГДФЛАПР">#REF!</definedName>
    <definedName name="пеноьн" hidden="1">#NAME?</definedName>
    <definedName name="пепвапа" localSheetId="2" hidden="1">{"'РП (2)'!$A$5:$S$150"}</definedName>
    <definedName name="пепвапа" hidden="1">{"'РП (2)'!$A$5:$S$150"}</definedName>
    <definedName name="период.инфо">#REF!</definedName>
    <definedName name="Периоды2">#REF!</definedName>
    <definedName name="перл" localSheetId="2" hidden="1">{"'Sheet1'!$A$1:$G$96","'Sheet1'!$A$1:$H$96"}</definedName>
    <definedName name="перл" hidden="1">{"'Sheet1'!$A$1:$G$96","'Sheet1'!$A$1:$H$96"}</definedName>
    <definedName name="печ1">#REF!</definedName>
    <definedName name="печ2">#REF!</definedName>
    <definedName name="пимфк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имф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й" localSheetId="2" hidden="1">{#N/A,#N/A,FALSE,"Aging Summary";#N/A,#N/A,FALSE,"Ratio Analysis";#N/A,#N/A,FALSE,"Test 120 Day Accts";#N/A,#N/A,FALSE,"Tickmarks"}</definedName>
    <definedName name="пй" hidden="1">{#N/A,#N/A,FALSE,"Aging Summary";#N/A,#N/A,FALSE,"Ratio Analysis";#N/A,#N/A,FALSE,"Test 120 Day Accts";#N/A,#N/A,FALSE,"Tickmarks"}</definedName>
    <definedName name="ПКРУЦ">#REF!</definedName>
    <definedName name="ПКУПКЕ">#REF!</definedName>
    <definedName name="Пл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л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лавка" hidden="1">#REF!</definedName>
    <definedName name="план" localSheetId="2" hidden="1">{"'РП (2)'!$A$5:$S$150"}</definedName>
    <definedName name="план" hidden="1">{"'РП (2)'!$A$5:$S$150"}</definedName>
    <definedName name="план06" localSheetId="2" hidden="1">{"'РП (2)'!$A$5:$S$150"}</definedName>
    <definedName name="план06" hidden="1">{"'РП (2)'!$A$5:$S$150"}</definedName>
    <definedName name="план1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лан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ЛО" localSheetId="2" hidden="1">{#N/A,#N/A,TRUE,"Буржуям"}</definedName>
    <definedName name="ПЛО" hidden="1">{#N/A,#N/A,TRUE,"Буржуям"}</definedName>
    <definedName name="плод" localSheetId="2" hidden="1">{#VALUE!,#N/A,TRUE,0}</definedName>
    <definedName name="плод" hidden="1">{#VALUE!,#N/A,TRUE,0}</definedName>
    <definedName name="по" localSheetId="2" hidden="1">{#N/A,#N/A,TRUE,"Буржуям"}</definedName>
    <definedName name="по" hidden="1">{#N/A,#N/A,TRUE,"Буржуям"}</definedName>
    <definedName name="подразделения" localSheetId="2" hidden="1">{"PRINTME",#N/A,FALSE,"FINAL-10"}</definedName>
    <definedName name="подразделения" hidden="1">{"PRINTME",#N/A,FALSE,"FINAL-10"}</definedName>
    <definedName name="подробная">{#N/A,#N/A,FALSE,"Лист15"}</definedName>
    <definedName name="Подстатьи" localSheetId="2">OFFSET(#REF!,MATCH(#REF!,#REF!,0)-1,1,COUNTIF(#REF!,#REF!),1)</definedName>
    <definedName name="Подстатьи">OFFSET(#REF!,MATCH(#REF!,#REF!,0)-1,1,COUNTIF(#REF!,#REF!),1)</definedName>
    <definedName name="Позиции">#REF!</definedName>
    <definedName name="Позиции_ID">#REF!</definedName>
    <definedName name="Позиции_ДатаИзм">#REF!</definedName>
    <definedName name="Позиции_Статус">#REF!</definedName>
    <definedName name="Показатель">#REF!</definedName>
    <definedName name="полугодие" localSheetId="2" hidden="1">{"баланс",#N/A,TRUE,"Баланс  на  декабрь"}</definedName>
    <definedName name="полугодие" hidden="1">{"баланс",#N/A,TRUE,"Баланс  на  декабрь"}</definedName>
    <definedName name="Получатель_ДС">#REF!</definedName>
    <definedName name="попа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опа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Поступления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оступления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потери1" localSheetId="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отери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отери2" localSheetId="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отери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отреб." localSheetId="2" hidden="1">{#N/A,#N/A,FALSE,"Цех1";#N/A,#N/A,FALSE,"Цех5"}</definedName>
    <definedName name="Потреб." hidden="1">{#N/A,#N/A,FALSE,"Цех1";#N/A,#N/A,FALSE,"Цех5"}</definedName>
    <definedName name="Потребн.сент." localSheetId="2" hidden="1">{#N/A,#N/A,FALSE,"Цех1";#N/A,#N/A,FALSE,"Цех5"}</definedName>
    <definedName name="Потребн.сент." hidden="1">{#N/A,#N/A,FALSE,"Цех1";#N/A,#N/A,FALSE,"Цех5"}</definedName>
    <definedName name="почие" localSheetId="2" hidden="1">{#N/A,#N/A,TRUE,"Буржуям"}</definedName>
    <definedName name="почие" hidden="1">{#N/A,#N/A,TRUE,"Буржуям"}</definedName>
    <definedName name="пощкопц" localSheetId="2" hidden="1">{0,0}</definedName>
    <definedName name="пощкопц" hidden="1">{0,0}</definedName>
    <definedName name="пп" hidden="1">#REF!</definedName>
    <definedName name="ППКЕКПЕК">#REF!,#REF!,#REF!,#REF!,#REF!,#REF!,#REF!,#REF!,#REF!,#REF!,#REF!,#REF!</definedName>
    <definedName name="ппп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п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ПППППП" localSheetId="2" hidden="1">{#N/A,#N/A,TRUE,"Буржуям"}</definedName>
    <definedName name="ППППППП" hidden="1">{#N/A,#N/A,TRUE,"Буржуям"}</definedName>
    <definedName name="ппппппппппппппп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ппппппппппппппп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ППРБПСБР">#REF!,#REF!,#REF!,#REF!,#REF!,#REF!,#REF!,#REF!,#REF!,#REF!,#REF!,#REF!</definedName>
    <definedName name="ппром" localSheetId="2" hidden="1">{"баланс",#N/A,TRUE,"Баланс  на  декабрь"}</definedName>
    <definedName name="ппром" hidden="1">{"баланс",#N/A,TRUE,"Баланс  на  декабрь"}</definedName>
    <definedName name="пр" localSheetId="2" hidden="1">{"баланс",#N/A,TRUE,"Баланс  на  декабрь"}</definedName>
    <definedName name="пр" hidden="1">{"баланс",#N/A,TRUE,"Баланс  на  декабрь"}</definedName>
    <definedName name="пр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Практика">#REF!</definedName>
    <definedName name="ПредложенияСК">#REF!</definedName>
    <definedName name="предприятие">#NAME?</definedName>
    <definedName name="премиум_Дата">#REF!</definedName>
    <definedName name="премиум_Код_ДДС">#REF!</definedName>
    <definedName name="Премиум_Получатель_ДС">#REF!</definedName>
    <definedName name="Премиум_Сумма__руб.">#REF!</definedName>
    <definedName name="приб" localSheetId="2" hidden="1">{#N/A,#N/A,TRUE,"Буржуям"}</definedName>
    <definedName name="приб" hidden="1">{#N/A,#N/A,TRUE,"Буржуям"}</definedName>
    <definedName name="Прибыль" localSheetId="2" hidden="1">{#N/A,#N/A,TRUE,"Буржуям"}</definedName>
    <definedName name="Прибыль" hidden="1">{#N/A,#N/A,TRUE,"Буржуям"}</definedName>
    <definedName name="прибыль3" localSheetId="2" hidden="1">{#N/A,#N/A,TRUE,"Лист1";#N/A,#N/A,TRUE,"Лист2";#N/A,#N/A,TRUE,"Лист3"}</definedName>
    <definedName name="прибыль3" hidden="1">{#N/A,#N/A,TRUE,"Лист1";#N/A,#N/A,TRUE,"Лист2";#N/A,#N/A,TRUE,"Лист3"}</definedName>
    <definedName name="привет" localSheetId="2" hidden="1">{"Valuation_Common",#N/A,FALSE,"Valuation"}</definedName>
    <definedName name="привет" hidden="1">{"Valuation_Common",#N/A,FALSE,"Valuation"}</definedName>
    <definedName name="приветт" localSheetId="2" hidden="1">{0,0}</definedName>
    <definedName name="приветт" hidden="1">{0,0}</definedName>
    <definedName name="приветтттт" localSheetId="2" hidden="1">{0,0}</definedName>
    <definedName name="приветтттт" hidden="1">{0,0}</definedName>
    <definedName name="Приложение" hidden="1">#REF!</definedName>
    <definedName name="прй8ук" localSheetId="2" hidden="1">{0,0}</definedName>
    <definedName name="прй8ук" hidden="1">{0,0}</definedName>
    <definedName name="прл" localSheetId="2" hidden="1">{"баланс",#N/A,TRUE,"Баланс  на  декабрь"}</definedName>
    <definedName name="прл" hidden="1">{"баланс",#N/A,TRUE,"Баланс  на  декабрь"}</definedName>
    <definedName name="про" localSheetId="2">#REF!</definedName>
    <definedName name="про">#REF!</definedName>
    <definedName name="про05">#REF!</definedName>
    <definedName name="про6" localSheetId="2" hidden="1">#REF!</definedName>
    <definedName name="про6" hidden="1">#REF!</definedName>
    <definedName name="продукт">#REF!</definedName>
    <definedName name="проект">#REF!</definedName>
    <definedName name="Проекты">#NAME?</definedName>
    <definedName name="проекты01.10">#REF!</definedName>
    <definedName name="проеуоу" localSheetId="2" hidden="1">#REF!</definedName>
    <definedName name="проеуоу" hidden="1">#REF!</definedName>
    <definedName name="производство" localSheetId="2" hidden="1">{"'Sheet1'!$A$1:$G$96","'Sheet1'!$A$1:$H$96"}</definedName>
    <definedName name="производство" hidden="1">{"'Sheet1'!$A$1:$G$96","'Sheet1'!$A$1:$H$96"}</definedName>
    <definedName name="пролграаммм">{#N/A,#N/A,FALSE,"Лист15"}</definedName>
    <definedName name="пролд" localSheetId="2" hidden="1">{"баланс",#N/A,TRUE,"Баланс  на  декабрь"}</definedName>
    <definedName name="пролд" hidden="1">{"баланс",#N/A,TRUE,"Баланс  на  декабрь"}</definedName>
    <definedName name="пролорполш" localSheetId="2" hidden="1">{"'РП (2)'!$A$5:$S$150"}</definedName>
    <definedName name="пролорполш" hidden="1">{"'РП (2)'!$A$5:$S$150"}</definedName>
    <definedName name="проч.упр." localSheetId="2" hidden="1">{"'Sheet1'!$A$1:$G$96","'Sheet1'!$A$1:$H$96"}</definedName>
    <definedName name="проч.упр." hidden="1">{"'Sheet1'!$A$1:$G$96","'Sheet1'!$A$1:$H$96"}</definedName>
    <definedName name="Прочее" localSheetId="2" hidden="1">{#N/A,#N/A,TRUE,"Буржуям"}</definedName>
    <definedName name="Прочее" hidden="1">{#N/A,#N/A,TRUE,"Буржуям"}</definedName>
    <definedName name="ПрочиеОперРезерв_расход">#REF!</definedName>
    <definedName name="прпа">#REF!,#REF!</definedName>
    <definedName name="ПРПАПРАР">#REF!</definedName>
    <definedName name="прпр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прпр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прро" localSheetId="2" hidden="1">{#N/A,#N/A,TRUE,"Буржуям"}</definedName>
    <definedName name="прро" hidden="1">{#N/A,#N/A,TRUE,"Буржуям"}</definedName>
    <definedName name="пррррррррррррррррр" localSheetId="2" hidden="1">{"баланс",#N/A,TRUE,"Баланс  на  декабрь"}</definedName>
    <definedName name="пррррррррррррррррр" hidden="1">{"баланс",#N/A,TRUE,"Баланс  на  декабрь"}</definedName>
    <definedName name="прукцр" localSheetId="2" hidden="1">{0,0}</definedName>
    <definedName name="прукцр" hidden="1">{0,0}</definedName>
    <definedName name="прукъй" localSheetId="2" hidden="1">{0,0}</definedName>
    <definedName name="прукъй" hidden="1">{0,0}</definedName>
    <definedName name="прфъунръ" localSheetId="2" hidden="1">{0,0}</definedName>
    <definedName name="прфъунръ" hidden="1">{0,0}</definedName>
    <definedName name="прХЩПХУ3ЪШУКЦ" localSheetId="2" hidden="1">{0,0}</definedName>
    <definedName name="прХЩПХУ3ЪШУКЦ" hidden="1">{0,0}</definedName>
    <definedName name="прщхфпъф" localSheetId="2" hidden="1">{0,0}</definedName>
    <definedName name="прщхфпъф" hidden="1">{0,0}</definedName>
    <definedName name="пръфц" localSheetId="2" hidden="1">{0,0}</definedName>
    <definedName name="пръфц" hidden="1">{0,0}</definedName>
    <definedName name="прыарыр" localSheetId="2" hidden="1">{"'9'!$A$1:$S$99"}</definedName>
    <definedName name="прыарыр" hidden="1">{"'9'!$A$1:$S$99"}</definedName>
    <definedName name="прыфрыр" localSheetId="2" hidden="1">{"'9'!$A$1:$S$99"}</definedName>
    <definedName name="прыфрыр" hidden="1">{"'9'!$A$1:$S$99"}</definedName>
    <definedName name="ПСЬСР">#REF!</definedName>
    <definedName name="ПУРЕКУЦ">#REF!</definedName>
    <definedName name="пфгпъф" localSheetId="2" hidden="1">{0,0}</definedName>
    <definedName name="пфгпъф" hidden="1">{0,0}</definedName>
    <definedName name="пфнрък" localSheetId="2" hidden="1">{0,0}</definedName>
    <definedName name="пфнрък" hidden="1">{0,0}</definedName>
    <definedName name="пфп" localSheetId="2" hidden="1">{"'Sheet1'!$A$1:$G$96","'Sheet1'!$A$1:$H$96"}</definedName>
    <definedName name="пфп" hidden="1">{"'Sheet1'!$A$1:$G$96","'Sheet1'!$A$1:$H$96"}</definedName>
    <definedName name="пфрпъц" localSheetId="2" hidden="1">{0,0}</definedName>
    <definedName name="пфрпъц" hidden="1">{0,0}</definedName>
    <definedName name="пфуцв">#REF!,#REF!</definedName>
    <definedName name="пфхщп" localSheetId="2" hidden="1">{0,0}</definedName>
    <definedName name="пфхщп" hidden="1">{0,0}</definedName>
    <definedName name="пфыы">#REF!</definedName>
    <definedName name="пщфрп" localSheetId="2" hidden="1">{0,0}</definedName>
    <definedName name="пщфрп" hidden="1">{0,0}</definedName>
    <definedName name="ПЫИАЬА">#REF!</definedName>
    <definedName name="пыпыппывапа" localSheetId="2" hidden="1">#REF!</definedName>
    <definedName name="пыпыппывапа" hidden="1">#REF!</definedName>
    <definedName name="ПЫУЕЫОР">#REF!,#REF!,#REF!,#REF!,#REF!,#REF!,#REF!,#REF!,#REF!,#REF!,#REF!,#REF!,#REF!</definedName>
    <definedName name="пятерка" localSheetId="2" hidden="1">{"баланс",#N/A,TRUE,"Баланс  на  декабрь"}</definedName>
    <definedName name="пятерка" hidden="1">{"баланс",#N/A,TRUE,"Баланс  на  декабрь"}</definedName>
    <definedName name="р" hidden="1">#REF!</definedName>
    <definedName name="р1" localSheetId="2" hidden="1">{"'Sheet1'!$A$1:$G$96","'Sheet1'!$A$1:$H$96"}</definedName>
    <definedName name="р1" hidden="1">{"'Sheet1'!$A$1:$G$96","'Sheet1'!$A$1:$H$96"}</definedName>
    <definedName name="рCostIncome" localSheetId="2">#REF!</definedName>
    <definedName name="рCostIncome">#REF!</definedName>
    <definedName name="раакв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раакв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раб" localSheetId="2" hidden="1">{"'РП (2)'!$A$5:$S$150"}</definedName>
    <definedName name="раб" hidden="1">{"'РП (2)'!$A$5:$S$150"}</definedName>
    <definedName name="рава" localSheetId="2" hidden="1">{"'РП (2)'!$A$5:$S$150"}</definedName>
    <definedName name="рава" hidden="1">{"'РП (2)'!$A$5:$S$150"}</definedName>
    <definedName name="равр" hidden="1">#REF!</definedName>
    <definedName name="равропаоьрп" localSheetId="2" hidden="1">{"konoplin - Личное представление",#N/A,TRUE,"ФинПлан_1кв";"konoplin - Личное представление",#N/A,TRUE,"ФинПлан_2кв"}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зное" localSheetId="2" hidden="1">{"Valuation_Common",#N/A,FALSE,"Valuation"}</definedName>
    <definedName name="Разное" hidden="1">{"Valuation_Common",#N/A,FALSE,"Valuation"}</definedName>
    <definedName name="рак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а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амрт" localSheetId="2" hidden="1">{"'РП (2)'!$A$5:$S$150"}</definedName>
    <definedName name="рамрт" hidden="1">{"'РП (2)'!$A$5:$S$150"}</definedName>
    <definedName name="рап" localSheetId="2" hidden="1">{#N/A,#N/A,FALSE,"Год 99."}</definedName>
    <definedName name="рап" hidden="1">{#N/A,#N/A,FALSE,"Год 99."}</definedName>
    <definedName name="РасСПБУпрУчет" localSheetId="2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асСПБУпрУчет" hidden="1">{#N/A,#N/A,FALSE,"p1";#N/A,#N/A,FALSE,"Indicators 2001";#N/A,#N/A,FALSE,"p3";#N/A,#N/A,FALSE,"Indicators 2000";#N/A,#N/A,FALSE,"p5";#N/A,#N/A,FALSE,"COY TOTAL";#N/A,#N/A,FALSE,"p12";#N/A,#N/A,FALSE,"p13";#N/A,#N/A,FALSE,"p14";#N/A,#N/A,FALSE,"Abridged 2001";#N/A,#N/A,FALSE,"Abridged NEPD";#N/A,#N/A,FALSE,"Abridged 4TH AND 5TH";#N/A,#N/A,FALSE,"Abridged FIN TEAM";#N/A,#N/A,FALSE,"Abridged HO";#N/A,#N/A,FALSE,"Abridged PD";#N/A,#N/A,FALSE,"p23";#N/A,#N/A,FALSE,"p24";#N/A,#N/A,FALSE,"Profit &amp;loss";#N/A,#N/A,FALSE,"Sal analysis";#N/A,#N/A,FALSE,"P&amp;L Per Sales";#N/A,#N/A,FALSE,"sensitivities";#N/A,#N/A,FALSE,"p33";#N/A,#N/A,FALSE," Cashflow";#N/A,#N/A,FALSE,"Sheet2";#N/A,#N/A,FALSE,"p34";#N/A,#N/A,FALSE,"Bal sh";#N/A,#N/A,FALSE,"Loans"}</definedName>
    <definedName name="Расх.норма" localSheetId="2" hidden="1">{#N/A,#N/A,FALSE,"Цех1";#N/A,#N/A,FALSE,"Цех5"}</definedName>
    <definedName name="Расх.норма" hidden="1">{#N/A,#N/A,FALSE,"Цех1";#N/A,#N/A,FALSE,"Цех5"}</definedName>
    <definedName name="расшифровка" hidden="1">#REF!</definedName>
    <definedName name="раыр" hidden="1">#NAME?</definedName>
    <definedName name="рБалПрибыль" localSheetId="2">#REF!</definedName>
    <definedName name="рБалПрибыль">#REF!</definedName>
    <definedName name="рВекселяБанковПРИн" localSheetId="2">#REF!</definedName>
    <definedName name="рВекселяБанковПРИн">#REF!</definedName>
    <definedName name="рВекселяБанковПРНац" localSheetId="2">#REF!</definedName>
    <definedName name="рВекселяБанковПРНац">#REF!</definedName>
    <definedName name="рвро" localSheetId="2" hidden="1">{#N/A,#N/A,TRUE,"Буржуям"}</definedName>
    <definedName name="рвро" hidden="1">{#N/A,#N/A,TRUE,"Буржуям"}</definedName>
    <definedName name="рДепБанковНерезовПРИн" localSheetId="2">#REF!</definedName>
    <definedName name="рДепБанковНерезовПРИн">#REF!</definedName>
    <definedName name="рДепБанковНерезовПРНац" localSheetId="2">#REF!</definedName>
    <definedName name="рДепБанковНерезовПРНац">#REF!</definedName>
    <definedName name="рДепБанковРезовПРИн" localSheetId="2">#REF!</definedName>
    <definedName name="рДепБанковРезовПРИн">#REF!</definedName>
    <definedName name="рДепБанковРезовПРНац">#REF!</definedName>
    <definedName name="рДепНацБанкаПРИн">#REF!</definedName>
    <definedName name="рДепНацБанкаПРНац">#REF!</definedName>
    <definedName name="рДепОтСбераПРИн">#REF!</definedName>
    <definedName name="рДепОтСбераПРНац">#REF!</definedName>
    <definedName name="рДепСертифБанковПРИн">#REF!</definedName>
    <definedName name="рДепСертифБанковПРНац">#REF!</definedName>
    <definedName name="рдолдо" localSheetId="2" hidden="1">{#N/A,#N/A,FALSE,"Год 99."}</definedName>
    <definedName name="рдолдо" hidden="1">{#N/A,#N/A,FALSE,"Год 99."}</definedName>
    <definedName name="рДоходнРабАктивов" localSheetId="2">#REF!</definedName>
    <definedName name="рДоходнРабАктивов">#REF!</definedName>
    <definedName name="реализация" hidden="1">#NAME?</definedName>
    <definedName name="реаоа">#REF!</definedName>
    <definedName name="реестрАР">#REF!</definedName>
    <definedName name="рейтинг">#REF!</definedName>
    <definedName name="рейтингтабл">#REF!</definedName>
    <definedName name="рейтфлит">#REF!</definedName>
    <definedName name="ремонт" localSheetId="2" hidden="1">#REF!</definedName>
    <definedName name="ремонт" hidden="1">#REF!</definedName>
    <definedName name="репин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епи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ис1" localSheetId="2" hidden="1">{#N/A,#N/A,TRUE,"Лист1";#N/A,#N/A,TRUE,"Лист2";#N/A,#N/A,TRUE,"Лист3"}</definedName>
    <definedName name="рис1" hidden="1">{#N/A,#N/A,TRUE,"Лист1";#N/A,#N/A,TRUE,"Лист2";#N/A,#N/A,TRUE,"Лист3"}</definedName>
    <definedName name="риф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и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КредБанкамНерезамПросрочПДИн" localSheetId="2">#REF!</definedName>
    <definedName name="рКредБанкамНерезамПросрочПДИн">#REF!</definedName>
    <definedName name="рКредБанкамНерезамПросрочПДНац" localSheetId="2">#REF!</definedName>
    <definedName name="рКредБанкамНерезамПросрочПДНац">#REF!</definedName>
    <definedName name="рКредБанкамНерезамПросрочСрОстатИн" localSheetId="2">#REF!</definedName>
    <definedName name="рКредБанкамНерезамПросрочСрОстатИн">#REF!</definedName>
    <definedName name="рКредБанкамНерезамПросрочСрОстатНац">#REF!</definedName>
    <definedName name="рКредБанкамНерезамСрочПДИн">#REF!</definedName>
    <definedName name="рКредБанкамНерезамСрочПДНац">#REF!</definedName>
    <definedName name="рКредБанкамРезамПросрочПДИн">#REF!</definedName>
    <definedName name="рКредБанкамРезамПросрочСрОстатИн">#REF!</definedName>
    <definedName name="рКредБанкамРезамПросрочСрОстатНац">#REF!</definedName>
    <definedName name="рКредБанкамРезамПросрочСтавкаНац">#REF!</definedName>
    <definedName name="рКредБанкамРезамСрочПДИн">#REF!</definedName>
    <definedName name="рКредБанкамРезамСрочПДНац">#REF!</definedName>
    <definedName name="рКредФЛСрочПДИн">#REF!</definedName>
    <definedName name="рКредФЛСрочПДНац">#REF!</definedName>
    <definedName name="рКредФЛцессияПДИн">#REF!</definedName>
    <definedName name="рКредФЛцессияПДНац">#REF!</definedName>
    <definedName name="рКредЮЛСрочПДИн">#REF!</definedName>
    <definedName name="рКредЮЛСрочПДНац">#REF!</definedName>
    <definedName name="рКредЮЛцессияПДИн">#REF!</definedName>
    <definedName name="рКредЮЛцессияПДНац">#REF!</definedName>
    <definedName name="рКрПортфИтого">#REF!</definedName>
    <definedName name="рКрПортфСиндКред">#REF!</definedName>
    <definedName name="рКрПортфФизЛиц">#REF!</definedName>
    <definedName name="рКрПортфЮрЛиц">#REF!</definedName>
    <definedName name="рКурсДоллСредн">#REF!</definedName>
    <definedName name="рлдрлд" localSheetId="2" hidden="1">{#N/A,#N/A,TRUE,"Буржуям"}</definedName>
    <definedName name="рлдрлд" hidden="1">{#N/A,#N/A,TRUE,"Буржуям"}</definedName>
    <definedName name="рЛороПРИн" localSheetId="2">#REF!</definedName>
    <definedName name="рЛороПРИн">#REF!</definedName>
    <definedName name="рЛороПРНац" localSheetId="2">#REF!</definedName>
    <definedName name="рЛороПРНац">#REF!</definedName>
    <definedName name="рНалогНаПрибыль_ставка" localSheetId="2">#REF!</definedName>
    <definedName name="рНалогНаПрибыль_ставка">#REF!</definedName>
    <definedName name="рнек" hidden="1">#NAME?</definedName>
    <definedName name="рНепроцДоход" localSheetId="2">#REF!</definedName>
    <definedName name="рНепроцДоход">#REF!</definedName>
    <definedName name="рНепроцДоходДоРезервов" localSheetId="2">#REF!</definedName>
    <definedName name="рНепроцДоходДоРезервов">#REF!</definedName>
    <definedName name="рНостроВБанкахНерезПДИн" localSheetId="2">#REF!</definedName>
    <definedName name="рНостроВБанкахНерезПДИн">#REF!</definedName>
    <definedName name="рНостроВБанкахНерезПДНац">#REF!</definedName>
    <definedName name="рНостроВБанкахРезПДИн">#REF!</definedName>
    <definedName name="рНостроВБанкахРезПДНац">#REF!</definedName>
    <definedName name="рНостроВНацБанкеПДИн">#REF!</definedName>
    <definedName name="рНостроВНацБанкеПДНац">#REF!</definedName>
    <definedName name="рНостроПрочиеПДИн">#REF!</definedName>
    <definedName name="рНостроПрочиеПДНац">#REF!</definedName>
    <definedName name="ро">#REF!</definedName>
    <definedName name="РОАБОСО">#REF!,#REF!</definedName>
    <definedName name="рОблигацииПРИн" localSheetId="2">#REF!</definedName>
    <definedName name="рОблигацииПРИн">#REF!</definedName>
    <definedName name="рОблигацииПРНац" localSheetId="2">#REF!</definedName>
    <definedName name="рОблигацииПРНац">#REF!</definedName>
    <definedName name="ров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вно" localSheetId="2" hidden="1">{"баланс",#N/A,TRUE,"Баланс  на  декабрь"}</definedName>
    <definedName name="ровно" hidden="1">{"баланс",#N/A,TRUE,"Баланс  на  декабрь"}</definedName>
    <definedName name="роглш" localSheetId="2" hidden="1">{#N/A,#N/A,FALSE,"1996";#N/A,#N/A,FALSE,"1995";#N/A,#N/A,FALSE,"1994"}</definedName>
    <definedName name="роглш" hidden="1">{#N/A,#N/A,FALSE,"1996";#N/A,#N/A,FALSE,"1995";#N/A,#N/A,FALSE,"1994"}</definedName>
    <definedName name="рока" localSheetId="2" hidden="1">{"баланс",#N/A,TRUE,"Баланс  на  декабрь"}</definedName>
    <definedName name="рока" hidden="1">{"баланс",#N/A,TRUE,"Баланс  на  декабрь"}</definedName>
    <definedName name="рол" localSheetId="2" hidden="1">{"баланс",#N/A,TRUE,"Баланс  на  декабрь"}</definedName>
    <definedName name="рол" hidden="1">{"баланс",#N/A,TRUE,"Баланс  на  декабрь"}</definedName>
    <definedName name="рол2121" localSheetId="2" hidden="1">{#VALUE!,#N/A,TRUE,0}</definedName>
    <definedName name="рол2121" hidden="1">{#VALUE!,#N/A,TRUE,0}</definedName>
    <definedName name="ролд" localSheetId="2" hidden="1">{"баланс",#N/A,TRUE,"Баланс  на  декабрь"}</definedName>
    <definedName name="ролд" hidden="1">{"баланс",#N/A,TRUE,"Баланс  на  декабрь"}</definedName>
    <definedName name="роол" hidden="1">"CPBD6WTRUEFAZMP2FHSLP2KUP"</definedName>
    <definedName name="рооо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оо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перДоход" localSheetId="2">#REF!</definedName>
    <definedName name="рОперДоход">#REF!</definedName>
    <definedName name="рОперДоходДоРезервов" localSheetId="2">#REF!</definedName>
    <definedName name="рОперДоходДоРезервов">#REF!</definedName>
    <definedName name="рОперРасход" localSheetId="2">#REF!</definedName>
    <definedName name="рОперРасход">#REF!</definedName>
    <definedName name="роплордл" localSheetId="2" hidden="1">#REF!</definedName>
    <definedName name="роплордл" hidden="1">#REF!</definedName>
    <definedName name="ропо" localSheetId="2" hidden="1">{#N/A,#N/A,TRUE,"Буржуям"}</definedName>
    <definedName name="ропо" hidden="1">{#N/A,#N/A,TRUE,"Буржуям"}</definedName>
    <definedName name="ропрлпмол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прлпмо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рор" localSheetId="2" hidden="1">{"Страница 1",#N/A,FALSE,"Модель Интенсивника";"Страница 2",#N/A,FALSE,"Модель Интенсивника";"Страница 3",#N/A,FALSE,"Модель Интенсивника"}</definedName>
    <definedName name="рор" hidden="1">{"Страница 1",#N/A,FALSE,"Модель Интенсивника";"Страница 2",#N/A,FALSE,"Модель Интенсивника";"Страница 3",#N/A,FALSE,"Модель Интенсивника"}</definedName>
    <definedName name="рорпла" localSheetId="2" hidden="1">{"Страница 1",#N/A,FALSE,"Модель Интенсивника";"Страница 2",#N/A,FALSE,"Модель Интенсивника";"Страница 3",#N/A,FALSE,"Модель Интенсивника"}</definedName>
    <definedName name="рорпла" hidden="1">{"Страница 1",#N/A,FALSE,"Модель Интенсивника";"Страница 2",#N/A,FALSE,"Модель Интенсивника";"Страница 3",#N/A,FALSE,"Модель Интенсивника"}</definedName>
    <definedName name="рпа" localSheetId="2" hidden="1">{"'РП (2)'!$A$5:$S$150"}</definedName>
    <definedName name="рпа" hidden="1">{"'РП (2)'!$A$5:$S$150"}</definedName>
    <definedName name="РПАВ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РПАВ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рпап" hidden="1">#NAME?</definedName>
    <definedName name="рпарп" hidden="1">#NAME?</definedName>
    <definedName name="рпйкр" localSheetId="2" hidden="1">{TRUE,0}</definedName>
    <definedName name="рпйкр" hidden="1">{TRUE,0}</definedName>
    <definedName name="рплд" localSheetId="2" hidden="1">{"'9'!$A$1:$S$99"}</definedName>
    <definedName name="рплд" hidden="1">{"'9'!$A$1:$S$99"}</definedName>
    <definedName name="рплп" localSheetId="2" hidden="1">{"баланс",#N/A,TRUE,"Баланс  на  декабрь"}</definedName>
    <definedName name="рплп" hidden="1">{"баланс",#N/A,TRUE,"Баланс  на  декабрь"}</definedName>
    <definedName name="рппав" localSheetId="2" hidden="1">{"'РП (2)'!$A$5:$S$150"}</definedName>
    <definedName name="рппав" hidden="1">{"'РП (2)'!$A$5:$S$150"}</definedName>
    <definedName name="рпроп" localSheetId="2" hidden="1">{"'РП (2)'!$A$5:$S$150"}</definedName>
    <definedName name="рпроп" hidden="1">{"'РП (2)'!$A$5:$S$150"}</definedName>
    <definedName name="рПроцДоходы">#REF!</definedName>
    <definedName name="рПроцМаржа">#REF!</definedName>
    <definedName name="рПроцПрибыль">#REF!</definedName>
    <definedName name="рПроцРасходы">#REF!</definedName>
    <definedName name="рПрочАктив1ПДИн">#REF!</definedName>
    <definedName name="рПрочАктив1ПДНац">#REF!</definedName>
    <definedName name="рПрочАктив1СрОстатИн">#REF!</definedName>
    <definedName name="рПрочАктив1СрОстатНац">#REF!</definedName>
    <definedName name="рПрочАктив2ПДИн">#REF!</definedName>
    <definedName name="рПрочАктив2ПДНац">#REF!</definedName>
    <definedName name="рПрочАктив2СрОстатИн">#REF!</definedName>
    <definedName name="рПрочАктив2СрОстатНац">#REF!</definedName>
    <definedName name="рПрочиеПроцПРИн">#REF!</definedName>
    <definedName name="рПрочиеПроцПРНац">#REF!</definedName>
    <definedName name="рпфщхх" localSheetId="2" hidden="1">{0,0}</definedName>
    <definedName name="рпфщхх" hidden="1">{0,0}</definedName>
    <definedName name="РПцкр" hidden="1">#NAME?</definedName>
    <definedName name="рпчар" hidden="1">#NAME?</definedName>
    <definedName name="рр" localSheetId="2" hidden="1">{"'РП (2)'!$A$5:$S$150"}</definedName>
    <definedName name="рр" hidden="1">{"'РП (2)'!$A$5:$S$150"}</definedName>
    <definedName name="рРасчСчетаЮЛПРИн">#REF!</definedName>
    <definedName name="рРасчСчетаЮЛПРНац">#REF!</definedName>
    <definedName name="рРентАктивов">#REF!</definedName>
    <definedName name="рРентКапитала">#REF!</definedName>
    <definedName name="РРМОРМ">#REF!</definedName>
    <definedName name="ррр">{#N/A,#N/A,FALSE,"Лист15"}</definedName>
    <definedName name="рррр" localSheetId="2" hidden="1">{#VALUE!,#N/A,TRUE,0}</definedName>
    <definedName name="рррр" hidden="1">{#VALUE!,#N/A,TRUE,0}</definedName>
    <definedName name="рррррррррр" localSheetId="2" hidden="1">{"Valuation_Common",#N/A,FALSE,"Valuation"}</definedName>
    <definedName name="рррррррррр" hidden="1">{"Valuation_Common",#N/A,FALSE,"Valuation"}</definedName>
    <definedName name="РСАСТ">#REF!,#REF!,#REF!,#REF!,#REF!,#REF!,#REF!,#REF!,#REF!,#REF!,#REF!,#REF!,#REF!</definedName>
    <definedName name="рСпрэд" localSheetId="2">#REF!</definedName>
    <definedName name="рСпрэд">#REF!</definedName>
    <definedName name="рСрВНацбанкеДепозитыПДИн" localSheetId="2">#REF!</definedName>
    <definedName name="рСрВНацбанкеДепозитыПДИн">#REF!</definedName>
    <definedName name="рСрВНацбанкеДепозитыПДНац" localSheetId="2">#REF!</definedName>
    <definedName name="рСрВНацбанкеДепозитыПДНац">#REF!</definedName>
    <definedName name="рСрВНацбанкеПрочиеПДИн">#REF!</definedName>
    <definedName name="рСрВНацбанкеПрочиеПДНац">#REF!</definedName>
    <definedName name="рСтоимПривлСредств">#REF!</definedName>
    <definedName name="РСЬС">#REF!,#REF!,#REF!,#REF!,#REF!,#REF!,#REF!,#REF!,#REF!,#REF!,#REF!,#REF!</definedName>
    <definedName name="ртмрьтм" localSheetId="2" hidden="1">{"'РП (2)'!$A$5:$S$150"}</definedName>
    <definedName name="ртмрьтм" hidden="1">{"'РП (2)'!$A$5:$S$150"}</definedName>
    <definedName name="руб.">"остаток вход"</definedName>
    <definedName name="рУдВесПросрочКредПортф" localSheetId="2">#REF!</definedName>
    <definedName name="рУдВесПросрочКредПортф">#REF!</definedName>
    <definedName name="рУдВесПросрочКрФизЛиц" localSheetId="2">#REF!</definedName>
    <definedName name="рУдВесПросрочКрФизЛиц">#REF!</definedName>
    <definedName name="рУдВесПросрочКрЮрЛиц" localSheetId="2">#REF!</definedName>
    <definedName name="рУдВесПросрочКрЮрЛиц">#REF!</definedName>
    <definedName name="рУровеньКрРиска">#REF!</definedName>
    <definedName name="рус" localSheetId="2" hidden="1">{"баланс",#N/A,TRUE,"Баланс  на  декабрь"}</definedName>
    <definedName name="рус" hidden="1">{"баланс",#N/A,TRUE,"Баланс  на  декабрь"}</definedName>
    <definedName name="рФЛВекселяПРИн" localSheetId="2">#REF!</definedName>
    <definedName name="рФЛВекселяПРИн">#REF!</definedName>
    <definedName name="рФЛВекселяПРНац" localSheetId="2">#REF!</definedName>
    <definedName name="рФЛВекселяПРНац">#REF!</definedName>
    <definedName name="рФЛДепозитыПРИн" localSheetId="2">#REF!</definedName>
    <definedName name="рФЛДепозитыПРИн">#REF!</definedName>
    <definedName name="рФЛДепозитыПРНац">#REF!</definedName>
    <definedName name="рФЛДоВострПРИн">#REF!</definedName>
    <definedName name="рФЛДоВострПРНац">#REF!</definedName>
    <definedName name="рФЛСберСертифПРИн">#REF!</definedName>
    <definedName name="рФЛСберСертифПРНац">#REF!</definedName>
    <definedName name="рЦБдляПродГосОблПДИн">#REF!</definedName>
    <definedName name="рЦБдляПродГосОблПДНац">#REF!</definedName>
    <definedName name="рЦБдляПродКорпОблПДИн">#REF!</definedName>
    <definedName name="рЦБдляПродКорпОблПДНац">#REF!</definedName>
    <definedName name="рЦБдляПродМестОВПДИн">#REF!</definedName>
    <definedName name="рЦБдляПродМестОВПДНац">#REF!</definedName>
    <definedName name="рЦБдляПродОблБанковПДИн">#REF!</definedName>
    <definedName name="рЦБдляПродОблБанковПДНац">#REF!</definedName>
    <definedName name="рЦБдляПродОблИнГосПДИн">#REF!</definedName>
    <definedName name="рЦБдляПродОблИнГосПДНац">#REF!</definedName>
    <definedName name="рЦБдоПогашГосОблПДИн">#REF!</definedName>
    <definedName name="рЦБдоПогашГосОблПДНац">#REF!</definedName>
    <definedName name="рЦБдоПогашКорпОблПДИн">#REF!</definedName>
    <definedName name="рЦБдоПогашКорпОблПДНац">#REF!</definedName>
    <definedName name="рЦБдоПогашМестОВПДИн">#REF!</definedName>
    <definedName name="рЦБдоПогашМестОВПДНац">#REF!</definedName>
    <definedName name="рЦБдоПогашОблБанковПДИн">#REF!</definedName>
    <definedName name="рЦБдоПогашОблБанковПДНац">#REF!</definedName>
    <definedName name="рЦБдоПогашОблИнГосПДИн">#REF!</definedName>
    <definedName name="рЦБдоПогашОблИнГосПДНац">#REF!</definedName>
    <definedName name="рЦБНеПогашГосОблПДИн">#REF!</definedName>
    <definedName name="рЦБНеПогашГосОблПДНац">#REF!</definedName>
    <definedName name="рЦБНеПогашГосОблСрОстатИн">#REF!</definedName>
    <definedName name="рЦБНеПогашГосОблСрОстатНац">#REF!</definedName>
    <definedName name="рЦБНеПогашКорпОблПДИн">#REF!</definedName>
    <definedName name="рЦБНеПогашКорпОблПДНац">#REF!</definedName>
    <definedName name="рЦБНеПогашКорпОблСрОстатИн">#REF!</definedName>
    <definedName name="рЦБНеПогашКорпОблСрОстатНац">#REF!</definedName>
    <definedName name="рЦБНеПогашМестОВПДИн">#REF!</definedName>
    <definedName name="рЦБНеПогашМестОВПДНац">#REF!</definedName>
    <definedName name="рЦБНеПогашМестОВСрОстатИн">#REF!</definedName>
    <definedName name="рЦБНеПогашМестОВСрОстатНац">#REF!</definedName>
    <definedName name="рЦБНеПогашОблБанковПДИн">#REF!</definedName>
    <definedName name="рЦБНеПогашОблБанковПДНац">#REF!</definedName>
    <definedName name="рЦБНеПогашОблБанковСрОстатИн">#REF!</definedName>
    <definedName name="рЦБНеПогашОблБанковСрОстатНац">#REF!</definedName>
    <definedName name="рЦБНеПогашОблИнГосПДИн">#REF!</definedName>
    <definedName name="рЦБНеПогашОблИнГосПДНац">#REF!</definedName>
    <definedName name="рЦБНеПогашОблИнГосСрОстатИн">#REF!</definedName>
    <definedName name="рЦБНеПогашОблИнГосСрОстатНац">#REF!</definedName>
    <definedName name="рЦБчОПУГосОблПДИн">#REF!</definedName>
    <definedName name="рЦБчОПУГосОблПДНац">#REF!</definedName>
    <definedName name="рЦБчОПУКорпОблПДИн">#REF!</definedName>
    <definedName name="рЦБчОПУКорпОблПДНац">#REF!</definedName>
    <definedName name="рЦБчОПУМестОВПДИн">#REF!</definedName>
    <definedName name="рЦБчОПУМестОВПДНац">#REF!</definedName>
    <definedName name="рЦБчОПУОблБанковПДИн">#REF!</definedName>
    <definedName name="рЦБчОПУОблБанковПДНац">#REF!</definedName>
    <definedName name="рЦБчОПУОблИнГосПДИн">#REF!</definedName>
    <definedName name="рЦБчОПУОблИнГосПДНац">#REF!</definedName>
    <definedName name="рЧистаяПрибыль">#REF!</definedName>
    <definedName name="рщпрх" localSheetId="2" hidden="1">{0,0}</definedName>
    <definedName name="рщпрх" hidden="1">{0,0}</definedName>
    <definedName name="рЮЛАккредитПРИн" localSheetId="2">#REF!</definedName>
    <definedName name="рЮЛАккредитПРИн">#REF!</definedName>
    <definedName name="рЮЛАккредитПРНац" localSheetId="2">#REF!</definedName>
    <definedName name="рЮЛАккредитПРНац">#REF!</definedName>
    <definedName name="рЮЛВекселяПРИн" localSheetId="2">#REF!</definedName>
    <definedName name="рЮЛВекселяПРИн">#REF!</definedName>
    <definedName name="рЮЛВекселяПРНац">#REF!</definedName>
    <definedName name="рЮЛДепСеритфПРИн">#REF!</definedName>
    <definedName name="рЮЛДепСеритфПРНац">#REF!</definedName>
    <definedName name="рЮЛСрочДепозПРИн">#REF!</definedName>
    <definedName name="рЮЛСрочДепозПРНац">#REF!</definedName>
    <definedName name="с" localSheetId="2">#REF!</definedName>
    <definedName name="с" hidden="1">{"'РП (2)'!$A$5:$S$150"}</definedName>
    <definedName name="са" localSheetId="2" hidden="1">{#N/A,#N/A,TRUE,"Буржуям"}</definedName>
    <definedName name="са" hidden="1">{#N/A,#N/A,TRUE,"Буржуям"}</definedName>
    <definedName name="Салахова_Дата">#REF!</definedName>
    <definedName name="Салахова_Код_ДДС">#REF!</definedName>
    <definedName name="Салахова_Получатель_ДС">#REF!</definedName>
    <definedName name="Салахова_Сумма__руб.">#REF!</definedName>
    <definedName name="Самосвалы" localSheetId="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амосвал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аусаву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аусаву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в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св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Сводная">#REF!</definedName>
    <definedName name="Секционный_выключатель" localSheetId="2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Секционный_выключатель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СервисЛайн_Дата">#REF!</definedName>
    <definedName name="СервисЛайн_Код_ДДС">#REF!</definedName>
    <definedName name="СервисЛайн_Сумма__руб.">#REF!</definedName>
    <definedName name="Сетка">#REF!</definedName>
    <definedName name="Сетка_Город">#REF!</definedName>
    <definedName name="Сетка_Грейд">#REF!</definedName>
    <definedName name="Сетка_ИД">#REF!</definedName>
    <definedName name="СЗАП" localSheetId="2" hidden="1">{#VALUE!,#N/A,TRUE,0}</definedName>
    <definedName name="СЗАП" hidden="1">{#VALUE!,#N/A,TRUE,0}</definedName>
    <definedName name="скидка">#REF!</definedName>
    <definedName name="Скорость">#NAME?</definedName>
    <definedName name="см" localSheetId="2" hidden="1">{"План продаж",#N/A,FALSE,"товар"}</definedName>
    <definedName name="см" hidden="1">{"План продаж",#N/A,FALSE,"товар"}</definedName>
    <definedName name="смета" hidden="1">#REF!</definedName>
    <definedName name="СМЕТА1" localSheetId="2" hidden="1">{#N/A,#N/A,TRUE,"Буржуям"}</definedName>
    <definedName name="СМЕТА1" hidden="1">{#N/A,#N/A,TRUE,"Буржуям"}</definedName>
    <definedName name="СНП" hidden="1">#NAME?</definedName>
    <definedName name="сон" localSheetId="2" hidden="1">{#N/A,#N/A,TRUE,"Буржуям"}</definedName>
    <definedName name="сон" hidden="1">{#N/A,#N/A,TRUE,"Буржуям"}</definedName>
    <definedName name="соц.выплаты">{#N/A,#N/A,FALSE,"Лист15"}</definedName>
    <definedName name="сп" localSheetId="2" hidden="1">{#N/A,#N/A,FALSE,"Aging Summary";#N/A,#N/A,FALSE,"Ratio Analysis";#N/A,#N/A,FALSE,"Test 120 Day Accts";#N/A,#N/A,FALSE,"Tickmarks"}</definedName>
    <definedName name="сп" hidden="1">{#N/A,#N/A,FALSE,"Aging Summary";#N/A,#N/A,FALSE,"Ratio Analysis";#N/A,#N/A,FALSE,"Test 120 Day Accts";#N/A,#N/A,FALSE,"Tickmarks"}</definedName>
    <definedName name="СПБ_08нараст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ПБ_08нарас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СПБИюль08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ПБИюль08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список">#NAME?</definedName>
    <definedName name="список3">#REF!</definedName>
    <definedName name="СписокМарок">#REF!</definedName>
    <definedName name="СписокМоделей">#REF!</definedName>
    <definedName name="СписокМоделейОбщ">#REF!</definedName>
    <definedName name="СписокСтраховщиков">#REF!</definedName>
    <definedName name="сравн.2" hidden="1">#NAME?</definedName>
    <definedName name="Сравнение" localSheetId="1" hidden="1">MAIN.SAPF4HELP()</definedName>
    <definedName name="Сравнение" localSheetId="2" hidden="1">MAIN.SAPF4HELP()</definedName>
    <definedName name="Сравнение" hidden="1">MAIN.SAPF4HELP()</definedName>
    <definedName name="Сравнит.отчет5м" localSheetId="2" hidden="1">{#N/A,#N/A,FALSE,"Цех1";#N/A,#N/A,FALSE,"Цех5"}</definedName>
    <definedName name="Сравнит.отчет5м" hidden="1">{#N/A,#N/A,FALSE,"Цех1";#N/A,#N/A,FALSE,"Цех5"}</definedName>
    <definedName name="сравяар" hidden="1">#NAME?</definedName>
    <definedName name="СРАР">#REF!,#REF!,#REF!,#REF!,#REF!,#REF!,#REF!,#REF!,#REF!,#REF!,#REF!,#REF!,#REF!</definedName>
    <definedName name="СревисЛайн_Получатель_ДС">#REF!</definedName>
    <definedName name="сред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ред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редАктивПрочие1_объем" localSheetId="2">#REF!</definedName>
    <definedName name="средАктивПрочие1_объем">#REF!</definedName>
    <definedName name="средАктивПрочие2_объем" localSheetId="2">#REF!</definedName>
    <definedName name="средАктивПрочие2_объем">#REF!</definedName>
    <definedName name="средАктивПрочие3_объем" localSheetId="2">#REF!</definedName>
    <definedName name="средАктивПрочие3_объем">#REF!</definedName>
    <definedName name="средАктивы_Нетто_объем">#REF!</definedName>
    <definedName name="средДепозЮр_объем">#REF!</definedName>
    <definedName name="средИнвЦБ_объем">#REF!</definedName>
    <definedName name="средИтогоПлатнПассивы_объем">#REF!</definedName>
    <definedName name="средКрМБПросроч_объем">#REF!</definedName>
    <definedName name="средКрМБСроч_объем">#REF!</definedName>
    <definedName name="средКрФизПросроч_объем">#REF!</definedName>
    <definedName name="средКрФизСроч_объем">#REF!</definedName>
    <definedName name="средКрЮрПросроч_объем">#REF!</definedName>
    <definedName name="средКрЮрСроч_объем">#REF!</definedName>
    <definedName name="средЛОРО_объем">#REF!</definedName>
    <definedName name="средМБК_Привл_объем">#REF!</definedName>
    <definedName name="средМБК_Сбер_объем">#REF!</definedName>
    <definedName name="средМБКразм_объем">#REF!</definedName>
    <definedName name="средНостро_объем">#REF!</definedName>
    <definedName name="средПассивПрочие1_объем">#REF!</definedName>
    <definedName name="средПассивПрочие2_объем">#REF!</definedName>
    <definedName name="средПассивПрочие3_объем">#REF!</definedName>
    <definedName name="средРабАктивы_объем">#REF!</definedName>
    <definedName name="средРасчСчета_объем">#REF!</definedName>
    <definedName name="средСобДолгОбва_объем">#REF!</definedName>
    <definedName name="средСобствСредства">#REF!</definedName>
    <definedName name="средСрМБ_объем">#REF!</definedName>
    <definedName name="средСрФизЛиц_объем">#REF!</definedName>
    <definedName name="средСубДолг_объем">#REF!</definedName>
    <definedName name="средЧислоТочекПродаж">#REF!</definedName>
    <definedName name="средЧислПерсонала">#REF!</definedName>
    <definedName name="СРПСРСР">#REF!,#REF!</definedName>
    <definedName name="СРПСРЬ">#REF!,#REF!,#REF!,#REF!,#REF!,#REF!,#REF!,#REF!,#REF!,#REF!,#REF!,#REF!</definedName>
    <definedName name="СРСРЬА">#REF!</definedName>
    <definedName name="сс" localSheetId="2" hidden="1">{#N/A,#N/A,TRUE,"Смета на пасс. обор. №1"}</definedName>
    <definedName name="сс" hidden="1">{#N/A,#N/A,TRUE,"Смета на пасс. обор. №1"}</definedName>
    <definedName name="ССК">#NAME?</definedName>
    <definedName name="ссссссссссссссссссссссссссссс" localSheetId="2" hidden="1">{#N/A,#N/A,FALSE,"activity"}</definedName>
    <definedName name="ссссссссссссссссссссссссссссс" hidden="1">{#N/A,#N/A,FALSE,"activity"}</definedName>
    <definedName name="ставка_кап">#REF!</definedName>
    <definedName name="ставка_субаренды">#NAME?</definedName>
    <definedName name="сталь" localSheetId="2" hidden="1">{#N/A,#N/A,TRUE,"Лист2"}</definedName>
    <definedName name="сталь" hidden="1">{#N/A,#N/A,TRUE,"Лист2"}</definedName>
    <definedName name="Статус">#REF!</definedName>
    <definedName name="СтатьиУУ">#NAME?</definedName>
    <definedName name="степнова" localSheetId="2" hidden="1">{#VALUE!,#N/A,TRUE,0}</definedName>
    <definedName name="степнова" hidden="1">{#VALUE!,#N/A,TRUE,0}</definedName>
    <definedName name="стол" hidden="1">#REF!</definedName>
    <definedName name="Стр" localSheetId="2" hidden="1">{#N/A,#N/A,TRUE,"Буржуям"}</definedName>
    <definedName name="Стр" hidden="1">{#N/A,#N/A,TRUE,"Буржуям"}</definedName>
    <definedName name="стр26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6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7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27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Страна_марки">#NAME?</definedName>
    <definedName name="Страхдом_Дата">#REF!</definedName>
    <definedName name="Страхдом_Код_ДДС">#REF!</definedName>
    <definedName name="Страхдом_Получатель_ДС">#REF!</definedName>
    <definedName name="Страхдом_Сумма__руб.">#REF!</definedName>
    <definedName name="Страховщики">#REF!</definedName>
    <definedName name="Страховые">#REF!</definedName>
    <definedName name="Структура">#REF!</definedName>
    <definedName name="Структура_Оклад">#REF!</definedName>
    <definedName name="Структура_Оклад_Грейд">#REF!</definedName>
    <definedName name="Структура_Оклад_ИД">#REF!</definedName>
    <definedName name="Структура_Оклад_Компания">#REF!</definedName>
    <definedName name="Структэнерг" localSheetId="2" hidden="1">{#N/A,#N/A,TRUE,"Буржуям"}</definedName>
    <definedName name="Структэнерг" hidden="1">{#N/A,#N/A,TRUE,"Буржуям"}</definedName>
    <definedName name="Струкэнерг" localSheetId="2" hidden="1">{#N/A,#N/A,TRUE,"Буржуям"}</definedName>
    <definedName name="Струкэнерг" hidden="1">{#N/A,#N/A,TRUE,"Буржуям"}</definedName>
    <definedName name="Стрэнерг" localSheetId="2" hidden="1">{#N/A,#N/A,TRUE,"Буржуям"}</definedName>
    <definedName name="Стрэнерг" hidden="1">{#N/A,#N/A,TRUE,"Буржуям"}</definedName>
    <definedName name="субаренда">#NAME?</definedName>
    <definedName name="Сумма__руб.">#REF!</definedName>
    <definedName name="Сценарий" localSheetId="2">#REF!</definedName>
    <definedName name="Сценарий">#REF!</definedName>
    <definedName name="сч" localSheetId="2" hidden="1">{#N/A,#N/A,FALSE,"Год 99."}</definedName>
    <definedName name="сч" hidden="1">{#N/A,#N/A,FALSE,"Год 99."}</definedName>
    <definedName name="сч.26" localSheetId="2" hidden="1">{#N/A,#N/A,TRUE,"Буржуям"}</definedName>
    <definedName name="сч.26" hidden="1">{#N/A,#N/A,TRUE,"Буржуям"}</definedName>
    <definedName name="сч26." localSheetId="2" hidden="1">{#N/A,#N/A,TRUE,"Буржуям"}</definedName>
    <definedName name="сч26." hidden="1">{#N/A,#N/A,TRUE,"Буржуям"}</definedName>
    <definedName name="сч28" localSheetId="2" hidden="1">{#N/A,#N/A,TRUE,"Буржуям"}</definedName>
    <definedName name="сч28" hidden="1">{#N/A,#N/A,TRUE,"Буржуям"}</definedName>
    <definedName name="СЬСЬПС">#REF!</definedName>
    <definedName name="сяасчсмчсм" localSheetId="2" hidden="1">{"'РП (2)'!$A$5:$S$150"}</definedName>
    <definedName name="сяасчсмчсм" hidden="1">{"'РП (2)'!$A$5:$S$150"}</definedName>
    <definedName name="сячсяфсяф" localSheetId="2" hidden="1">{"'РП (2)'!$A$5:$S$150"}</definedName>
    <definedName name="сячсяфсяф" hidden="1">{"'РП (2)'!$A$5:$S$150"}</definedName>
    <definedName name="т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т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т05" localSheetId="2" hidden="1">{#N/A,#N/A,FALSE,"т04"}</definedName>
    <definedName name="т05" hidden="1">{#N/A,#N/A,FALSE,"т04"}</definedName>
    <definedName name="т5" localSheetId="2" hidden="1">{"'Sheet1'!$A$1:$G$96","'Sheet1'!$A$1:$H$96"}</definedName>
    <definedName name="т5" hidden="1">{"'Sheet1'!$A$1:$G$96","'Sheet1'!$A$1:$H$96"}</definedName>
    <definedName name="т7" localSheetId="2" hidden="1">{"'Sheet1'!$A$1:$G$96","'Sheet1'!$A$1:$H$96"}</definedName>
    <definedName name="т7" hidden="1">{"'Sheet1'!$A$1:$G$96","'Sheet1'!$A$1:$H$96"}</definedName>
    <definedName name="табл112">#REF!</definedName>
    <definedName name="табл4">#NAME?</definedName>
    <definedName name="Таблица1" localSheetId="2" hidden="1">#REF!</definedName>
    <definedName name="Таблица1" hidden="1">#REF!</definedName>
    <definedName name="Таблица2" localSheetId="2" hidden="1">#REF!</definedName>
    <definedName name="Таблица2" hidden="1">#REF!</definedName>
    <definedName name="Таблица4" localSheetId="2" hidden="1">#REF!</definedName>
    <definedName name="Таблица4" hidden="1">#REF!</definedName>
    <definedName name="Таблица61" hidden="1">#REF!</definedName>
    <definedName name="талоырал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лоырал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мПош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мПош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мПошл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мПошл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таня" hidden="1">#REF!</definedName>
    <definedName name="тап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1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арифыОбщ">#REF!</definedName>
    <definedName name="ТарифыОСАГО">#NAME?</definedName>
    <definedName name="тбпред">#REF!</definedName>
    <definedName name="тбпред1">#REF!</definedName>
    <definedName name="тбпред2">#REF!</definedName>
    <definedName name="тбсотр">#REF!</definedName>
    <definedName name="тварь" localSheetId="2" hidden="1">{"баланс",#N/A,TRUE,"Баланс  на  декабрь"}</definedName>
    <definedName name="тварь" hidden="1">{"баланс",#N/A,TRUE,"Баланс  на  декабрь"}</definedName>
    <definedName name="твыаботаб">#REF!</definedName>
    <definedName name="ТД_дата">#REF!</definedName>
    <definedName name="ТД_код_ДДС">#REF!</definedName>
    <definedName name="ТД_получатель_ДС">#REF!</definedName>
    <definedName name="ТД_сумма">#REF!</definedName>
    <definedName name="тим" localSheetId="2" hidden="1">{#N/A,#N/A,FALSE,"Год 99."}</definedName>
    <definedName name="тим" hidden="1">{#N/A,#N/A,FALSE,"Год 99."}</definedName>
    <definedName name="Тип_кузова">#NAME?</definedName>
    <definedName name="ТМБАЬВ">#REF!</definedName>
    <definedName name="то">#REF!</definedName>
    <definedName name="ТОБО" localSheetId="2">#REF!</definedName>
    <definedName name="ТОБО">#REF!</definedName>
    <definedName name="товар" localSheetId="2" hidden="1">{#N/A,#N/A,TRUE,"Буржуям"}</definedName>
    <definedName name="товар" hidden="1">{#N/A,#N/A,TRUE,"Буржуям"}</definedName>
    <definedName name="ТОВАРилиПРАВА">#NAME?</definedName>
    <definedName name="толь" localSheetId="2" hidden="1">{"'РП (2)'!$A$5:$S$150"}</definedName>
    <definedName name="толь" hidden="1">{"'РП (2)'!$A$5:$S$150"}</definedName>
    <definedName name="топ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о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опаз_дата">#REF!</definedName>
    <definedName name="Топаз_код_ДДС">#REF!</definedName>
    <definedName name="Топаз_получатель_ДС">#REF!</definedName>
    <definedName name="Топаз_сумма">#REF!</definedName>
    <definedName name="тп" localSheetId="2" hidden="1">{#N/A,#N/A,TRUE,"Лист1";#N/A,#N/A,TRUE,"Лист2";#N/A,#N/A,TRUE,"Лист3"}</definedName>
    <definedName name="тп" hidden="1">{#N/A,#N/A,TRUE,"Лист1";#N/A,#N/A,TRUE,"Лист2";#N/A,#N/A,TRUE,"Лист3"}</definedName>
    <definedName name="ТП1" localSheetId="2" hidden="1">{#VALUE!,#N/A,TRUE,0}</definedName>
    <definedName name="ТП1" hidden="1">{#VALUE!,#N/A,TRUE,0}</definedName>
    <definedName name="тран" localSheetId="2" hidden="1">{"IMRAK42x8x8",#N/A,TRUE,"IMRAK 1400 42U 800X800";"IMRAK32x6x6",#N/A,TRUE,"IMRAK 1400 32U 600x600";"IMRAK42x12x8",#N/A,TRUE,"IMRAK 1400 42U 1200x800";"IMRAK15x6x4",#N/A,TRUE,"IMRAK 400 15U FRONT SECTION"}</definedName>
    <definedName name="тран" hidden="1">{"IMRAK42x8x8",#N/A,TRUE,"IMRAK 1400 42U 800X800";"IMRAK32x6x6",#N/A,TRUE,"IMRAK 1400 32U 600x600";"IMRAK42x12x8",#N/A,TRUE,"IMRAK 1400 42U 1200x800";"IMRAK15x6x4",#N/A,TRUE,"IMRAK 400 15U FRONT SECTION"}</definedName>
    <definedName name="Трансмиссия">#NAME?</definedName>
    <definedName name="трансп" localSheetId="2" hidden="1">#REF!</definedName>
    <definedName name="трансп" hidden="1">#REF!</definedName>
    <definedName name="транспорт" localSheetId="2" hidden="1">#REF!</definedName>
    <definedName name="транспорт" hidden="1">#REF!</definedName>
    <definedName name="трейдинг" localSheetId="2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трейдинг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три">#REF!</definedName>
    <definedName name="ТРСЬА">#REF!,#REF!,#REF!,#REF!,#REF!</definedName>
    <definedName name="тряпка" localSheetId="2" hidden="1">{"баланс",#N/A,TRUE,"Баланс  на  декабрь"}</definedName>
    <definedName name="тряпка" hidden="1">{"баланс",#N/A,TRUE,"Баланс  на  декабрь"}</definedName>
    <definedName name="ТСРЬСЬР">#REF!,#REF!</definedName>
    <definedName name="тт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тт">#REF!</definedName>
    <definedName name="тттт" localSheetId="2" hidden="1">{#VALUE!,#N/A,TRUE,0}</definedName>
    <definedName name="тттт" hidden="1">{#VALUE!,#N/A,TRUE,0}</definedName>
    <definedName name="ттттттттттттллллл" localSheetId="2" hidden="1">{"Valuation_Common",#N/A,FALSE,"Valuation"}</definedName>
    <definedName name="ттттттттттттллллл" hidden="1">{"Valuation_Common",#N/A,FALSE,"Valuation"}</definedName>
    <definedName name="тфф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ф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ть" localSheetId="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ьауьлц">#REF!</definedName>
    <definedName name="тьтттттттттттттттттттттт" localSheetId="2" hidden="1">{"баланс",#N/A,TRUE,"Баланс  на  декабрь"}</definedName>
    <definedName name="тьтттттттттттттттттттттт" hidden="1">{"баланс",#N/A,TRUE,"Баланс  на  декабрь"}</definedName>
    <definedName name="ТЭ" localSheetId="2" hidden="1">{"баланс",#N/A,TRUE,"Баланс  на  декабрь"}</definedName>
    <definedName name="ТЭ" hidden="1">{"баланс",#N/A,TRUE,"Баланс  на  декабрь"}</definedName>
    <definedName name="ТЭО" localSheetId="2" hidden="1">{"баланс",#N/A,TRUE,"Баланс  на  декабрь"}</definedName>
    <definedName name="ТЭО" hidden="1">{"баланс",#N/A,TRUE,"Баланс  на  декабрь"}</definedName>
    <definedName name="тэп1" hidden="1">#REF!</definedName>
    <definedName name="тю" localSheetId="2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тю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у" localSheetId="2" hidden="1">{"баланс",#N/A,TRUE,"Баланс  на  декабрь"}</definedName>
    <definedName name="у" hidden="1">{"баланс",#N/A,TRUE,"Баланс  на  декабрь"}</definedName>
    <definedName name="ува" localSheetId="2" hidden="1">{#N/A,#N/A,TRUE,"Summary"}</definedName>
    <definedName name="ува" hidden="1">{#N/A,#N/A,TRUE,"Summary"}</definedName>
    <definedName name="уву">#REF!</definedName>
    <definedName name="увцы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вцы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вчм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вчм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УГЭН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1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гэн1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еен" localSheetId="2" hidden="1">{"konoplin - Личное представление",#N/A,TRUE,"ФинПлан_1кв";"konoplin - Личное представление",#N/A,TRUE,"ФинПлан_2кв"}</definedName>
    <definedName name="уеен" hidden="1">{"konoplin - Личное представление",#N/A,TRUE,"ФинПлан_1кв";"konoplin - Личное представление",#N/A,TRUE,"ФинПлан_2кв"}</definedName>
    <definedName name="уек" localSheetId="2" hidden="1">{"баланс",#N/A,TRUE,"Баланс  на  декабрь"}</definedName>
    <definedName name="уек" hidden="1">{"баланс",#N/A,TRUE,"Баланс  на  декабрь"}</definedName>
    <definedName name="УЕПВ">#REF!,#REF!,#REF!,#REF!,#REF!,#REF!,#REF!,#REF!,#REF!,#REF!,#REF!,#REF!</definedName>
    <definedName name="уеу" localSheetId="2" hidden="1">{#N/A,#N/A,FALSE,"Год 99."}</definedName>
    <definedName name="уеу" hidden="1">{#N/A,#N/A,FALSE,"Год 99."}</definedName>
    <definedName name="ук" localSheetId="2" hidden="1">{#N/A,#N/A,FALSE,"Цех1";#N/A,#N/A,FALSE,"Цех5"}</definedName>
    <definedName name="ук" hidden="1">{#N/A,#N/A,FALSE,"Цех1";#N/A,#N/A,FALSE,"Цех5"}</definedName>
    <definedName name="уке">#REF!</definedName>
    <definedName name="укеееукеееееееееееееее" localSheetId="2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нгшл">#REF!</definedName>
    <definedName name="укенпгиь" localSheetId="2" hidden="1">{0,0}</definedName>
    <definedName name="укенпгиь" hidden="1">{0,0}</definedName>
    <definedName name="укеукеуеуе" localSheetId="2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кк">#REF!</definedName>
    <definedName name="укн" hidden="1">#NAME?</definedName>
    <definedName name="укну" hidden="1">#NAME?</definedName>
    <definedName name="укр" localSheetId="2" hidden="1">{#N/A,#N/A,TRUE,"Буржуям"}</definedName>
    <definedName name="укр" hidden="1">{#N/A,#N/A,TRUE,"Буржуям"}</definedName>
    <definedName name="укук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укук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УКУКУК" localSheetId="2" hidden="1">{#N/A,#N/A,TRUE,"Буржуям"}</definedName>
    <definedName name="УКУКУК" hidden="1">{#N/A,#N/A,TRUE,"Буржуям"}</definedName>
    <definedName name="ун" hidden="1">#NAME?</definedName>
    <definedName name="уне" hidden="1">#NAME?</definedName>
    <definedName name="УпрУчет" localSheetId="2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прУчет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упс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п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упырыр" localSheetId="2" hidden="1">{#VALUE!,#N/A,TRUE,0}</definedName>
    <definedName name="упырыр" hidden="1">{#VALUE!,#N/A,TRUE,0}</definedName>
    <definedName name="уравне" localSheetId="2" hidden="1">{"'РП (2)'!$A$5:$S$150"}</definedName>
    <definedName name="уравне" hidden="1">{"'РП (2)'!$A$5:$S$150"}</definedName>
    <definedName name="уточн.ож" localSheetId="2" hidden="1">{#N/A,#N/A,TRUE,"Буржуям"}</definedName>
    <definedName name="уточн.ож" hidden="1">{#N/A,#N/A,TRUE,"Буржуям"}</definedName>
    <definedName name="уу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уу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ууе" localSheetId="2" hidden="1">{0,0}</definedName>
    <definedName name="ууе" hidden="1">{0,0}</definedName>
    <definedName name="ууу" localSheetId="2" hidden="1">{"'9'!$A$1:$S$99"}</definedName>
    <definedName name="ууу" hidden="1">{"'9'!$A$1:$S$99"}</definedName>
    <definedName name="УЦ" localSheetId="2" hidden="1">{0,0}</definedName>
    <definedName name="УЦ" hidden="1">{0,0}</definedName>
    <definedName name="уцекурнфнек">#REF!</definedName>
    <definedName name="уцекурф">#REF!</definedName>
    <definedName name="уцй" localSheetId="2" hidden="1">{#N/A,#N/A,FALSE,"activity"}</definedName>
    <definedName name="уцй" hidden="1">{#N/A,#N/A,FALSE,"activity"}</definedName>
    <definedName name="уцп">#REF!</definedName>
    <definedName name="уцукц" localSheetId="2" hidden="1">#REF!</definedName>
    <definedName name="уцукц" hidden="1">#REF!</definedName>
    <definedName name="ф" localSheetId="2" hidden="1">{#N/A,#N/A,FALSE,"Aging Summary";#N/A,#N/A,FALSE,"Ratio Analysis";#N/A,#N/A,FALSE,"Test 120 Day Accts";#N/A,#N/A,FALSE,"Tickmarks"}</definedName>
    <definedName name="ф" hidden="1">{#N/A,#N/A,FALSE,"Aging Summary";#N/A,#N/A,FALSE,"Ratio Analysis";#N/A,#N/A,FALSE,"Test 120 Day Accts";#N/A,#N/A,FALSE,"Tickmarks"}</definedName>
    <definedName name="Ф1523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Ф152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ф2" localSheetId="2" hidden="1">{#N/A,#N/A,TRUE,"Лист2"}</definedName>
    <definedName name="ф2" hidden="1">{#N/A,#N/A,TRUE,"Лист2"}</definedName>
    <definedName name="Ф2_ИНСТРУК">{#N/A,#N/A,FALSE,"Распр Услуг без ген дир";#N/A,#N/A,FALSE,"распред без Ген дир";#N/A,#N/A,FALSE,"Бюджет МТК";#N/A,#N/A,FALSE,"Распр площадей";#N/A,#N/A,FALSE,"Распр СБ25";#N/A,#N/A,FALSE,"Распр ГХО24";#N/A,#N/A,FALSE,"Перс расхСБ";#N/A,#N/A,FALSE,"Перс расхГХО";#N/A,#N/A,FALSE,"Перс расх адм";#N/A,#N/A,FALSE,"распред";#N/A,#N/A,FALSE,"Распр Услуг";#N/A,#N/A,FALSE,"Распр Услуг с рук СБ"}</definedName>
    <definedName name="ф3" localSheetId="2" hidden="1">{#N/A,#N/A,TRUE,"Лист2"}</definedName>
    <definedName name="ф3" hidden="1">{#N/A,#N/A,TRUE,"Лист2"}</definedName>
    <definedName name="Ф5.4С" localSheetId="2" hidden="1">{"print95",#N/A,FALSE,"1995E.XLS";"print96",#N/A,FALSE,"1996E.XLS"}</definedName>
    <definedName name="Ф5.4С" hidden="1">{"print95",#N/A,FALSE,"1995E.XLS";"print96",#N/A,FALSE,"1996E.XLS"}</definedName>
    <definedName name="ф9" localSheetId="2" hidden="1">{"'Sheet1'!$A$1:$G$96","'Sheet1'!$A$1:$H$96"}</definedName>
    <definedName name="ф9" hidden="1">{"'Sheet1'!$A$1:$G$96","'Sheet1'!$A$1:$H$96"}</definedName>
    <definedName name="фав" hidden="1">#REF!</definedName>
    <definedName name="ФАВАФП">#REF!</definedName>
    <definedName name="Факт" localSheetId="2" hidden="1">{"IMRAK42x8x8",#N/A,TRUE,"IMRAK 1400 42U 800X800";"IMRAK32x6x6",#N/A,TRUE,"IMRAK 1400 32U 600x600";"IMRAK42x12x8",#N/A,TRUE,"IMRAK 1400 42U 1200x800";"IMRAK15x6x4",#N/A,TRUE,"IMRAK 400 15U FRONT SECTION"}</definedName>
    <definedName name="Факт" hidden="1">{"IMRAK42x8x8",#N/A,TRUE,"IMRAK 1400 42U 800X800";"IMRAK32x6x6",#N/A,TRUE,"IMRAK 1400 32U 600x600";"IMRAK42x12x8",#N/A,TRUE,"IMRAK 1400 42U 1200x800";"IMRAK15x6x4",#N/A,TRUE,"IMRAK 400 15U FRONT SECTION"}</definedName>
    <definedName name="Факт2" localSheetId="2" hidden="1">{"IMRAK42x8x8",#N/A,TRUE,"IMRAK 1400 42U 800X800";"IMRAK32x6x6",#N/A,TRUE,"IMRAK 1400 32U 600x600";"IMRAK42x12x8",#N/A,TRUE,"IMRAK 1400 42U 1200x800";"IMRAK15x6x4",#N/A,TRUE,"IMRAK 400 15U FRONT SECTION"}</definedName>
    <definedName name="Факт2" hidden="1">{"IMRAK42x8x8",#N/A,TRUE,"IMRAK 1400 42U 800X800";"IMRAK32x6x6",#N/A,TRUE,"IMRAK 1400 32U 600x600";"IMRAK42x12x8",#N/A,TRUE,"IMRAK 1400 42U 1200x800";"IMRAK15x6x4",#N/A,TRUE,"IMRAK 400 15U FRONT SECTION"}</definedName>
    <definedName name="ФАкт3" localSheetId="2" hidden="1">{"IMRAK42x8x8",#N/A,TRUE,"IMRAK 1400 42U 800X800";"IMRAK32x6x6",#N/A,TRUE,"IMRAK 1400 32U 600x600";"IMRAK42x12x8",#N/A,TRUE,"IMRAK 1400 42U 1200x800";"IMRAK15x6x4",#N/A,TRUE,"IMRAK 400 15U FRONT SECTION"}</definedName>
    <definedName name="ФАкт3" hidden="1">{"IMRAK42x8x8",#N/A,TRUE,"IMRAK 1400 42U 800X800";"IMRAK32x6x6",#N/A,TRUE,"IMRAK 1400 32U 600x600";"IMRAK42x12x8",#N/A,TRUE,"IMRAK 1400 42U 1200x800";"IMRAK15x6x4",#N/A,TRUE,"IMRAK 400 15U FRONT SECTION"}</definedName>
    <definedName name="ФАкт4" localSheetId="2" hidden="1">{"IMRAK42x8x8",#N/A,TRUE,"IMRAK 1400 42U 800X800";"IMRAK32x6x6",#N/A,TRUE,"IMRAK 1400 32U 600x600";"IMRAK42x12x8",#N/A,TRUE,"IMRAK 1400 42U 1200x800";"IMRAK15x6x4",#N/A,TRUE,"IMRAK 400 15U FRONT SECTION"}</definedName>
    <definedName name="ФАкт4" hidden="1">{"IMRAK42x8x8",#N/A,TRUE,"IMRAK 1400 42U 800X800";"IMRAK32x6x6",#N/A,TRUE,"IMRAK 1400 32U 600x600";"IMRAK42x12x8",#N/A,TRUE,"IMRAK 1400 42U 1200x800";"IMRAK15x6x4",#N/A,TRUE,"IMRAK 400 15U FRONT SECTION"}</definedName>
    <definedName name="фат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ат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БО">#REF!</definedName>
    <definedName name="ФВАПАВВФ">#REF!</definedName>
    <definedName name="ФВАПФВАПФВАП" localSheetId="2" hidden="1">{#VALUE!,#N/A,TRUE,0}</definedName>
    <definedName name="ФВАПФВАПФВАП" hidden="1">{#VALUE!,#N/A,TRUE,0}</definedName>
    <definedName name="ФВАПФВАПФВАПФВАПФВАП" localSheetId="2" hidden="1">{#VALUE!,#N/A,TRUE,0}</definedName>
    <definedName name="ФВАПФВАПФВАПФВАПФВАП" hidden="1">{#VALUE!,#N/A,TRUE,0}</definedName>
    <definedName name="фваррервуф" hidden="1">#NAME?</definedName>
    <definedName name="фвп" localSheetId="2" hidden="1">{#N/A,#N/A,FALSE,"Aging Summary";#N/A,#N/A,FALSE,"Ratio Analysis";#N/A,#N/A,FALSE,"Test 120 Day Accts";#N/A,#N/A,FALSE,"Tickmarks"}</definedName>
    <definedName name="фвп" hidden="1">{#N/A,#N/A,FALSE,"Aging Summary";#N/A,#N/A,FALSE,"Ratio Analysis";#N/A,#N/A,FALSE,"Test 120 Day Accts";#N/A,#N/A,FALSE,"Tickmarks"}</definedName>
    <definedName name="фврфр" localSheetId="2" hidden="1">{#N/A,#N/A,TRUE,"Буржуям"}</definedName>
    <definedName name="фврфр" hidden="1">{#N/A,#N/A,TRUE,"Буржуям"}</definedName>
    <definedName name="фвфыв" localSheetId="2" hidden="1">{"'РП (2)'!$A$5:$S$150"}</definedName>
    <definedName name="фвфыв" hidden="1">{"'РП (2)'!$A$5:$S$150"}</definedName>
    <definedName name="фдэфщ" localSheetId="2" hidden="1">{0,0}</definedName>
    <definedName name="фдэфщ" hidden="1">{0,0}</definedName>
    <definedName name="февр" localSheetId="2" hidden="1">{#VALUE!,#N/A,TRUE,0}</definedName>
    <definedName name="февр" hidden="1">{#VALUE!,#N/A,TRUE,0}</definedName>
    <definedName name="февраль" localSheetId="2" hidden="1">{#N/A,#N/A,TRUE,"Лист2"}</definedName>
    <definedName name="февраль" hidden="1">{#N/A,#N/A,TRUE,"Лист2"}</definedName>
    <definedName name="федя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федя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УСО&amp;УРС";#N/A,#N/A,TRUE,"Фин.операции";#N/A,#N/A,TRUE,"Прочие ";#N/A,#N/A,TRUE,"ДП№5";#N/A,#N/A,TRUE,"Титул"}</definedName>
    <definedName name="феквп">#REF!,#REF!,#REF!,#REF!,#REF!,#REF!,#REF!,#REF!,#REF!,#REF!,#REF!,#REF!,#REF!</definedName>
    <definedName name="фенс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енс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еукр">#REF!</definedName>
    <definedName name="феф" localSheetId="2" hidden="1">#REF!</definedName>
    <definedName name="феф" hidden="1">#REF!</definedName>
    <definedName name="фига" localSheetId="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иг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ильтр" hidden="1">#REF!</definedName>
    <definedName name="фин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план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план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инПланФакт" localSheetId="2" hidden="1">{"konoplin - Личное представление",#N/A,TRUE,"ФинПлан_1кв";"konoplin - Личное представление",#N/A,TRUE,"ФинПлан_2кв"}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ЙУКАЕ" localSheetId="2" hidden="1">{#VALUE!,#N/A,TRUE,0}</definedName>
    <definedName name="ФЙУКАЕ" hidden="1">{#VALUE!,#N/A,TRUE,0}</definedName>
    <definedName name="фйуыквпа">#REF!</definedName>
    <definedName name="фка">#REF!,#REF!,#REF!,#REF!,#REF!,#REF!,#REF!,#REF!,#REF!,#REF!,#REF!,#REF!</definedName>
    <definedName name="фкпаяы">#REF!</definedName>
    <definedName name="фку">#REF!,#REF!,#REF!,#REF!,#REF!,#REF!,#REF!,#REF!,#REF!,#REF!,#REF!,#REF!,#REF!</definedName>
    <definedName name="фкуая">#REF!</definedName>
    <definedName name="фкуряу">#REF!</definedName>
    <definedName name="флит">#REF!</definedName>
    <definedName name="флит0106">#REF!</definedName>
    <definedName name="флит1304">#REF!</definedName>
    <definedName name="фмп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м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орма_собственности">#NAME?</definedName>
    <definedName name="фп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п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п." hidden="1">#REF!</definedName>
    <definedName name="ФПАМ">#REF!</definedName>
    <definedName name="ФПАП">#REF!</definedName>
    <definedName name="ФПАФ">#REF!</definedName>
    <definedName name="фплан" localSheetId="2" hidden="1">{#VALUE!,#N/A,TRUE,0}</definedName>
    <definedName name="фплан" hidden="1">{#VALUE!,#N/A,TRUE,0}</definedName>
    <definedName name="ФСП" localSheetId="2" hidden="1">{#VALUE!,#N/A,TRUE,0}</definedName>
    <definedName name="ФСП" hidden="1">{#VALUE!,#N/A,TRUE,0}</definedName>
    <definedName name="фуе" hidden="1">#REF!</definedName>
    <definedName name="ФУЕКР">#REF!,#REF!,#REF!,#REF!,#REF!,#REF!,#REF!,#REF!,#REF!,#REF!,#REF!,#REF!</definedName>
    <definedName name="фук" hidden="1">#NAME?</definedName>
    <definedName name="фукн" hidden="1">#NAME?</definedName>
    <definedName name="фуууууу" localSheetId="2" hidden="1">{"баланс",#N/A,TRUE,"Баланс  на  декабрь"}</definedName>
    <definedName name="фуууууу" hidden="1">{"баланс",#N/A,TRUE,"Баланс  на  декабрь"}</definedName>
    <definedName name="фф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ф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ФАВТ0709" localSheetId="2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ФАВТ0709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ФФОМС" localSheetId="2">#REF!</definedName>
    <definedName name="ФФОМС">#REF!</definedName>
    <definedName name="ффффф" localSheetId="2" hidden="1">{#N/A,#N/A,TRUE,"Буржуям"}</definedName>
    <definedName name="ффффф" hidden="1">{#N/A,#N/A,TRUE,"Буржуям"}</definedName>
    <definedName name="фц" localSheetId="2" hidden="1">{"'РП (2)'!$A$5:$S$150"}</definedName>
    <definedName name="фц" hidden="1">{"'РП (2)'!$A$5:$S$150"}</definedName>
    <definedName name="фцв">#REF!</definedName>
    <definedName name="фщпщх" localSheetId="2" hidden="1">{0,0}</definedName>
    <definedName name="фщпщх" hidden="1">{0,0}</definedName>
    <definedName name="фы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фы3" localSheetId="2" hidden="1">{"'Sheet1'!$A$1:$G$96","'Sheet1'!$A$1:$H$96"}</definedName>
    <definedName name="фы3" hidden="1">{"'Sheet1'!$A$1:$G$96","'Sheet1'!$A$1:$H$96"}</definedName>
    <definedName name="ФЫ҂АФЫВА" localSheetId="2" hidden="1">{#N/A,#N/A,TRUE,"Буржуям"}</definedName>
    <definedName name="ФЫ҂АФЫВА" hidden="1">{#N/A,#N/A,TRUE,"Буржуям"}</definedName>
    <definedName name="фыава">#REF!</definedName>
    <definedName name="фыава4" localSheetId="2" hidden="1">{"'Sheet1'!$A$1:$G$96","'Sheet1'!$A$1:$H$96"}</definedName>
    <definedName name="фыава4" hidden="1">{"'Sheet1'!$A$1:$G$96","'Sheet1'!$A$1:$H$96"}</definedName>
    <definedName name="фыап">#REF!</definedName>
    <definedName name="фыв3" localSheetId="2" hidden="1">{"'Sheet1'!$A$1:$G$96","'Sheet1'!$A$1:$H$96"}</definedName>
    <definedName name="фыв3" hidden="1">{"'Sheet1'!$A$1:$G$96","'Sheet1'!$A$1:$H$96"}</definedName>
    <definedName name="фыва" localSheetId="2" hidden="1">#REF!</definedName>
    <definedName name="фыва">#REF!</definedName>
    <definedName name="фывафва" localSheetId="2" hidden="1">{#VALUE!,#N/A,TRUE,0}</definedName>
    <definedName name="фывафва" hidden="1">{#VALUE!,#N/A,TRUE,0}</definedName>
    <definedName name="ФЫВАФЫВА" localSheetId="2" hidden="1">{#N/A,#N/A,TRUE,"Буржуям"}</definedName>
    <definedName name="ФЫВАФЫВА" hidden="1">{#N/A,#N/A,TRUE,"Буржуям"}</definedName>
    <definedName name="фыввс">#REF!</definedName>
    <definedName name="фывфв" localSheetId="2" hidden="1">{0,TRUE,0,0;0,0,0,0;0,0,0,0}</definedName>
    <definedName name="фывфв" hidden="1">{0,TRUE,0,0;0,0,0,0;0,0,0,0}</definedName>
    <definedName name="фывфы" localSheetId="2" hidden="1">{"'РП (2)'!$A$5:$S$150"}</definedName>
    <definedName name="фывфы" hidden="1">{"'РП (2)'!$A$5:$S$150"}</definedName>
    <definedName name="фывфыа" localSheetId="2" hidden="1">{"Страница 1",#N/A,FALSE,"Модель Интенсивника";"Страница 2",#N/A,FALSE,"Модель Интенсивника";"Страница 3",#N/A,FALSE,"Модель Интенсивника"}</definedName>
    <definedName name="фывфыа" hidden="1">{"Страница 1",#N/A,FALSE,"Модель Интенсивника";"Страница 2",#N/A,FALSE,"Модель Интенсивника";"Страница 3",#N/A,FALSE,"Модель Интенсивника"}</definedName>
    <definedName name="фывфыв" localSheetId="2" hidden="1">{"'РП (2)'!$A$5:$S$150"}</definedName>
    <definedName name="фывфыв" hidden="1">{"'РП (2)'!$A$5:$S$150"}</definedName>
    <definedName name="фывфыыв" hidden="1">#REF!</definedName>
    <definedName name="фяурка">#REF!,#REF!</definedName>
    <definedName name="х" localSheetId="2" hidden="1">{#N/A,#N/A,TRUE,"Буржуям"}</definedName>
    <definedName name="х" hidden="1">{#N/A,#N/A,TRUE,"Буржуям"}</definedName>
    <definedName name="хдлортир" localSheetId="2" hidden="1">{"'РП (2)'!$A$5:$S$150"}</definedName>
    <definedName name="хдлортир" hidden="1">{"'РП (2)'!$A$5:$S$150"}</definedName>
    <definedName name="хзщ" localSheetId="2" hidden="1">{#N/A,#N/A,FALSE,"Год 99."}</definedName>
    <definedName name="хзщ" hidden="1">{#N/A,#N/A,FALSE,"Год 99."}</definedName>
    <definedName name="ххх" localSheetId="2" hidden="1">{"print95",#N/A,FALSE,"1995E.XLS";"print96",#N/A,FALSE,"1996E.XLS"}</definedName>
    <definedName name="ххх" hidden="1">{"print95",#N/A,FALSE,"1995E.XLS";"print96",#N/A,FALSE,"1996E.XLS"}</definedName>
    <definedName name="ххххххх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ххххххх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">#REF!</definedName>
    <definedName name="ц2у3к4е5">#REF!</definedName>
    <definedName name="ЦБДД_Дата">#REF!</definedName>
    <definedName name="ЦБДД_Код_ДДС">#REF!</definedName>
    <definedName name="ЦБДД_Получатель_ДС">#REF!</definedName>
    <definedName name="ЦБДД_Сумма__руб.">#REF!</definedName>
    <definedName name="цгэ" localSheetId="2" hidden="1">{#N/A,#N/A,TRUE,"Буржуям"}</definedName>
    <definedName name="цгэ" hidden="1">{#N/A,#N/A,TRUE,"Буржуям"}</definedName>
    <definedName name="цен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ен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йуцйуй" localSheetId="2" hidden="1">{"'Sheet1'!$A$1:$G$96","'Sheet1'!$A$1:$H$96"}</definedName>
    <definedName name="цйуцйуй" hidden="1">{"'Sheet1'!$A$1:$G$96","'Sheet1'!$A$1:$H$96"}</definedName>
    <definedName name="цйцц" hidden="1">#NAME?</definedName>
    <definedName name="цк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к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кт" localSheetId="2" hidden="1">{#N/A,#N/A,TRUE,"Смета на пасс. обор. №1"}</definedName>
    <definedName name="цкт" hidden="1">{#N/A,#N/A,TRUE,"Смета на пасс. обор. №1"}</definedName>
    <definedName name="ЦПК" localSheetId="2" hidden="1">{#N/A,#N/A,TRUE,"Буржуям"}</definedName>
    <definedName name="ЦПК" hidden="1">{#N/A,#N/A,TRUE,"Буржуям"}</definedName>
    <definedName name="цу">#REF!</definedName>
    <definedName name="цуг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уг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ЦУЕКН">#REF!</definedName>
    <definedName name="цук">#REF!,#REF!,#REF!,#REF!</definedName>
    <definedName name="ЦУКЕ">#REF!</definedName>
    <definedName name="цукек" localSheetId="2" hidden="1">{#N/A,#N/A,FALSE,"Год 99."}</definedName>
    <definedName name="цукек" hidden="1">{#N/A,#N/A,FALSE,"Год 99."}</definedName>
    <definedName name="цукенгшлщдщз" localSheetId="2" hidden="1">{"'РП (2)'!$A$5:$S$150"}</definedName>
    <definedName name="цукенгшлщдщз" hidden="1">{"'РП (2)'!$A$5:$S$150"}</definedName>
    <definedName name="цукепар">#REF!</definedName>
    <definedName name="ЦУКЕЦУК" localSheetId="2" hidden="1">{#VALUE!,#N/A,TRUE,0}</definedName>
    <definedName name="ЦУКЕЦУК" hidden="1">{#VALUE!,#N/A,TRUE,0}</definedName>
    <definedName name="ЦУКЕЦУКЕ" localSheetId="2" hidden="1">{#VALUE!,#N/A,TRUE,0}</definedName>
    <definedName name="ЦУКЕЦУКЕ" hidden="1">{#VALUE!,#N/A,TRUE,0}</definedName>
    <definedName name="ЦУКПФУКП" localSheetId="2" hidden="1">{#VALUE!,#N/A,TRUE,0}</definedName>
    <definedName name="ЦУКПФУКП" hidden="1">{#VALUE!,#N/A,TRUE,0}</definedName>
    <definedName name="ЦУКЦУК" localSheetId="2" hidden="1">{#N/A,#N/A,TRUE,"Буржуям"}</definedName>
    <definedName name="ЦУКЦУК" hidden="1">{#N/A,#N/A,TRUE,"Буржуям"}</definedName>
    <definedName name="ЦУКЦУКЦЕУКЕУ" localSheetId="2" hidden="1">{#N/A,#N/A,TRUE,"Буржуям"}</definedName>
    <definedName name="ЦУКЦУКЦЕУКЕУ" hidden="1">{#N/A,#N/A,TRUE,"Буржуям"}</definedName>
    <definedName name="ЦФО">#NAME?</definedName>
    <definedName name="цц" localSheetId="2" hidden="1">{#N/A,#N/A,TRUE,"Буржуям"}</definedName>
    <definedName name="цц" hidden="1">{#N/A,#N/A,TRUE,"Буржуям"}</definedName>
    <definedName name="ццу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1" localSheetId="2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ц" localSheetId="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ццц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цццц" localSheetId="2" hidden="1">{#N/A,#N/A,TRUE,"Summary"}</definedName>
    <definedName name="цццц" hidden="1">{#N/A,#N/A,TRUE,"Summary"}</definedName>
    <definedName name="цццццццц" hidden="1">#REF!</definedName>
    <definedName name="ч" hidden="1">#REF!</definedName>
    <definedName name="чвпявп" localSheetId="2" hidden="1">{"'9'!$A$1:$S$99"}</definedName>
    <definedName name="чвпявп" hidden="1">{"'9'!$A$1:$S$99"}</definedName>
    <definedName name="чртпта">#REF!</definedName>
    <definedName name="чрчва">#REF!</definedName>
    <definedName name="чсм" localSheetId="2" hidden="1">{#N/A,#N/A,FALSE,"Год 99."}</definedName>
    <definedName name="чсм" hidden="1">{#N/A,#N/A,FALSE,"Год 99."}</definedName>
    <definedName name="чч" hidden="1">#NAME?</definedName>
    <definedName name="чччччччччччччччччччччччччччччччччччч" localSheetId="2" hidden="1">{"'Sheet1'!$A$1:$G$96","'Sheet1'!$A$1:$H$96"}</definedName>
    <definedName name="чччччччччччччччччччччччччччччччччччч" hidden="1">{"'Sheet1'!$A$1:$G$96","'Sheet1'!$A$1:$H$96"}</definedName>
    <definedName name="ш" localSheetId="2" hidden="1">{"'РП (2)'!$A$5:$S$150"}</definedName>
    <definedName name="ш" hidden="1">{"'РП (2)'!$A$5:$S$150"}</definedName>
    <definedName name="Шатилов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Шатило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шгаш" localSheetId="2" hidden="1">{#VALUE!,#N/A,TRUE,0}</definedName>
    <definedName name="шгаш" hidden="1">{#VALUE!,#N/A,TRUE,0}</definedName>
    <definedName name="шгн">#REF!,#REF!,#REF!,#REF!,#REF!,#REF!,#REF!,#REF!,#REF!,#REF!,#REF!,#REF!,#REF!</definedName>
    <definedName name="ШГНЕ">#REF!</definedName>
    <definedName name="ШГНЕК">#REF!</definedName>
    <definedName name="ШГНЕКЕНГ">#REF!,#REF!,#REF!,#REF!,#REF!,#REF!,#REF!,#REF!,#REF!,#REF!,#REF!,#REF!,#REF!</definedName>
    <definedName name="шдд" localSheetId="2" hidden="1">{#N/A,#N/A,TRUE,"Буржуям"}</definedName>
    <definedName name="шдд" hidden="1">{#N/A,#N/A,TRUE,"Буржуям"}</definedName>
    <definedName name="шдпшд" localSheetId="2" hidden="1">{#N/A,#N/A,TRUE,"Буржуям"}</definedName>
    <definedName name="шдпшд" hidden="1">{#N/A,#N/A,TRUE,"Буржуям"}</definedName>
    <definedName name="ШЛОРП">#REF!</definedName>
    <definedName name="ШЛРШЛГПО">#REF!</definedName>
    <definedName name="шлторшл" hidden="1">#NAME?</definedName>
    <definedName name="шнг" localSheetId="2" hidden="1">{#N/A,#N/A,FALSE,"Год 99."}</definedName>
    <definedName name="шнг" hidden="1">{#N/A,#N/A,FALSE,"Год 99."}</definedName>
    <definedName name="шндб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шндб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ШОРП">#REF!</definedName>
    <definedName name="шош" hidden="1">#NAME?</definedName>
    <definedName name="шрпу0ц" localSheetId="2" hidden="1">{0,0}</definedName>
    <definedName name="шрпу0ц" hidden="1">{0,0}</definedName>
    <definedName name="шшл" localSheetId="2" hidden="1">{#VALUE!,#N/A,TRUE,0}</definedName>
    <definedName name="шшл" hidden="1">{#VALUE!,#N/A,TRUE,0}</definedName>
    <definedName name="шщг" localSheetId="2" hidden="1">{#N/A,#N/A,FALSE,"Год 99."}</definedName>
    <definedName name="шщг" hidden="1">{#N/A,#N/A,FALSE,"Год 99."}</definedName>
    <definedName name="шщх" localSheetId="2" hidden="1">{#VALUE!,#N/A,TRUE,0}</definedName>
    <definedName name="шщх" hidden="1">{#VALUE!,#N/A,TRUE,0}</definedName>
    <definedName name="щ" localSheetId="2" hidden="1">{"баланс",#N/A,TRUE,"Баланс  на  декабрь"}</definedName>
    <definedName name="щ" hidden="1">{"баланс",#N/A,TRUE,"Баланс  на  декабрь"}</definedName>
    <definedName name="щ4уер" localSheetId="2" hidden="1">{0,-1.66734641767098E-207}</definedName>
    <definedName name="щ4уер" hidden="1">{0,-1.66734641767098E-207}</definedName>
    <definedName name="Щтц_ывыв" hidden="1">#NAME?</definedName>
    <definedName name="щуща" hidden="1">#REF!</definedName>
    <definedName name="щшг" localSheetId="2" hidden="1">{#N/A,#N/A,FALSE,"Год 99."}</definedName>
    <definedName name="щшг" hidden="1">{#N/A,#N/A,FALSE,"Год 99."}</definedName>
    <definedName name="щшгнек">#REF!</definedName>
    <definedName name="щшн" localSheetId="2" hidden="1">{#N/A,#N/A,FALSE,"Aging Summary";#N/A,#N/A,FALSE,"Ratio Analysis";#N/A,#N/A,FALSE,"Test 120 Day Accts";#N/A,#N/A,FALSE,"Tickmarks"}</definedName>
    <definedName name="щшн" hidden="1">{#N/A,#N/A,FALSE,"Aging Summary";#N/A,#N/A,FALSE,"Ratio Analysis";#N/A,#N/A,FALSE,"Test 120 Day Accts";#N/A,#N/A,FALSE,"Tickmarks"}</definedName>
    <definedName name="ЩШОГРП">#REF!</definedName>
    <definedName name="щщ" localSheetId="2" hidden="1">{#N/A,#N/A,FALSE,"ACQ_GRAPHS";#N/A,#N/A,FALSE,"T_1 GRAPHS";#N/A,#N/A,FALSE,"T_2 GRAPHS";#N/A,#N/A,FALSE,"COMB_GRAPHS"}</definedName>
    <definedName name="щщ" hidden="1">{#N/A,#N/A,FALSE,"ACQ_GRAPHS";#N/A,#N/A,FALSE,"T_1 GRAPHS";#N/A,#N/A,FALSE,"T_2 GRAPHS";#N/A,#N/A,FALSE,"COMB_GRAPHS"}</definedName>
    <definedName name="ъ" localSheetId="2" hidden="1">{"баланс",#N/A,TRUE,"Баланс  на  декабрь"}</definedName>
    <definedName name="ъ" hidden="1">{"баланс",#N/A,TRUE,"Баланс  на  декабрь"}</definedName>
    <definedName name="ъщ" localSheetId="2" hidden="1">{#VALUE!,#N/A,TRUE,0}</definedName>
    <definedName name="ъщ" hidden="1">{#VALUE!,#N/A,TRUE,0}</definedName>
    <definedName name="ы">#REF!</definedName>
    <definedName name="ы5" hidden="1">#NAME?</definedName>
    <definedName name="ыа" localSheetId="2" hidden="1">{#N/A,#N/A,FALSE,"Год 99."}</definedName>
    <definedName name="ыа" hidden="1">{#N/A,#N/A,FALSE,"Год 99."}</definedName>
    <definedName name="ыаа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ыаа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ыаввыыфа">#REF!,#REF!,#REF!,#REF!,#REF!,#REF!,#REF!,#REF!,#REF!,#REF!,#REF!,#REF!,#REF!</definedName>
    <definedName name="ыавыаваы">#REF!,#REF!,#REF!,#REF!,#REF!,#REF!,#REF!,#REF!,#REF!,#REF!,#REF!,#REF!</definedName>
    <definedName name="ыаыв">#REF!</definedName>
    <definedName name="ЫВА" hidden="1">#NAME?</definedName>
    <definedName name="ывап" localSheetId="2" hidden="1">{"баланс",#N/A,TRUE,"Баланс  на  декабрь"}</definedName>
    <definedName name="ывап" hidden="1">{"баланс",#N/A,TRUE,"Баланс  на  декабрь"}</definedName>
    <definedName name="ывапр">#REF!</definedName>
    <definedName name="ывапр6" localSheetId="2" hidden="1">{"'Sheet1'!$A$1:$G$96","'Sheet1'!$A$1:$H$96"}</definedName>
    <definedName name="ывапр6" hidden="1">{"'Sheet1'!$A$1:$G$96","'Sheet1'!$A$1:$H$96"}</definedName>
    <definedName name="ЫВАПРФВАПЫВА" localSheetId="2" hidden="1">{#VALUE!,#N/A,TRUE,0}</definedName>
    <definedName name="ЫВАПРФВАПЫВА" hidden="1">{#VALUE!,#N/A,TRUE,0}</definedName>
    <definedName name="ЫВАПЫВАПЫВА" localSheetId="2" hidden="1">{#N/A,#N/A,TRUE,"Буржуям"}</definedName>
    <definedName name="ЫВАПЫВАПЫВА" hidden="1">{#N/A,#N/A,TRUE,"Буржуям"}</definedName>
    <definedName name="ыварппрапра" hidden="1">#REF!</definedName>
    <definedName name="ываыа" localSheetId="2" hidden="1">{#N/A,#N/A,FALSE,"Закрытые кредиты"}</definedName>
    <definedName name="ываыа" hidden="1">{#N/A,#N/A,FALSE,"Закрытые кредиты"}</definedName>
    <definedName name="ЫВВЫВЫВ">#REF!</definedName>
    <definedName name="ывфпыфва">#REF!</definedName>
    <definedName name="ывывы" localSheetId="2" hidden="1">#REF!</definedName>
    <definedName name="ывывы" hidden="1">#REF!</definedName>
    <definedName name="ыгеыкыггн">#REF!</definedName>
    <definedName name="Ыгь" localSheetId="2" hidden="1">{#N/A,#N/A,FALSE,"Aging Summary";#N/A,#N/A,FALSE,"Ratio Analysis";#N/A,#N/A,FALSE,"Test 120 Day Accts";#N/A,#N/A,FALSE,"Tickmarks"}</definedName>
    <definedName name="Ыгь" hidden="1">{#N/A,#N/A,FALSE,"Aging Summary";#N/A,#N/A,FALSE,"Ratio Analysis";#N/A,#N/A,FALSE,"Test 120 Day Accts";#N/A,#N/A,FALSE,"Tickmarks"}</definedName>
    <definedName name="ыекгге">#REF!</definedName>
    <definedName name="ыекгек">#REF!</definedName>
    <definedName name="ыекн">#REF!</definedName>
    <definedName name="ыекынее">#REF!</definedName>
    <definedName name="ыенк">#REF!</definedName>
    <definedName name="ыерпарпаврв" localSheetId="2" hidden="1">{#N/A,#N/A,FALSE,"magsep2";#N/A,#N/A,FALSE,"¾"" X ½""";#N/A,#N/A,FALSE,"½"" X ¼""";#N/A,#N/A,FALSE,"¼"" X 8 Mesh";#N/A,#N/A,FALSE,"8 X 14 Mesh"}</definedName>
    <definedName name="ыерпарпаврв" hidden="1">{#N/A,#N/A,FALSE,"magsep2";#N/A,#N/A,FALSE,"¾"" X ½""";#N/A,#N/A,FALSE,"½"" X ¼""";#N/A,#N/A,FALSE,"¼"" X 8 Mesh";#N/A,#N/A,FALSE,"8 X 14 Mesh"}</definedName>
    <definedName name="ык" localSheetId="2" hidden="1">{"баланс",#N/A,TRUE,"Баланс  на  декабрь"}</definedName>
    <definedName name="ык" hidden="1">{"баланс",#N/A,TRUE,"Баланс  на  декабрь"}</definedName>
    <definedName name="ыквп" localSheetId="2" hidden="1">{"баланс",#N/A,TRUE,"Баланс  на  декабрь"}</definedName>
    <definedName name="ыквп" hidden="1">{"баланс",#N/A,TRUE,"Баланс  на  декабрь"}</definedName>
    <definedName name="ЫКГРЕК">#REF!</definedName>
    <definedName name="ЫКЕРЕКЫ">#REF!,#REF!,#REF!,#REF!</definedName>
    <definedName name="ЫКЕРРЫЕКЫ">#REF!,#REF!</definedName>
    <definedName name="ыкефу">#REF!</definedName>
    <definedName name="ыкеыг">#REF!</definedName>
    <definedName name="ЫКОЕОЕ">#REF!</definedName>
    <definedName name="ЫКОЛН">#REF!,#REF!,#REF!,#REF!,#REF!,#REF!,#REF!,#REF!,#REF!,#REF!,#REF!,#REF!,#REF!</definedName>
    <definedName name="ыкпнр" localSheetId="2" hidden="1">#REF!</definedName>
    <definedName name="ыкпнр" hidden="1">#REF!</definedName>
    <definedName name="ылннле" localSheetId="2" hidden="1">{0,0}</definedName>
    <definedName name="ылннле" hidden="1">{0,0}</definedName>
    <definedName name="ылыклы" localSheetId="2" hidden="1">{0,0}</definedName>
    <definedName name="ылыклы" hidden="1">{0,0}</definedName>
    <definedName name="ылылы" localSheetId="2" hidden="1">{0,0}</definedName>
    <definedName name="ылылы" hidden="1">{0,0}</definedName>
    <definedName name="ЫНКНЕ">#REF!</definedName>
    <definedName name="ынлын" localSheetId="2" hidden="1">{0,0}</definedName>
    <definedName name="ынлын" hidden="1">{0,0}</definedName>
    <definedName name="ыноыо" localSheetId="2" hidden="1">{#N/A,#N/A,TRUE,"Буржуям"}</definedName>
    <definedName name="ыноыо" hidden="1">{#N/A,#N/A,TRUE,"Буржуям"}</definedName>
    <definedName name="ыноыон" localSheetId="2" hidden="1">{#N/A,#N/A,TRUE,"Буржуям"}</definedName>
    <definedName name="ыноыон" hidden="1">{#N/A,#N/A,TRUE,"Буржуям"}</definedName>
    <definedName name="ынф" hidden="1">#NAME?</definedName>
    <definedName name="ЫООН">#REF!,#REF!</definedName>
    <definedName name="ыпыпыпыап" localSheetId="2" hidden="1">#REF!</definedName>
    <definedName name="ыпыпыпыап" hidden="1">#REF!</definedName>
    <definedName name="ыре" hidden="1">#NAME?</definedName>
    <definedName name="ырп">#REF!</definedName>
    <definedName name="ыррпа" hidden="1">#NAME?</definedName>
    <definedName name="ытаовыт">#REF!</definedName>
    <definedName name="ыуаы" localSheetId="2" hidden="1">{#N/A,#N/A,TRUE,"Лист1";#N/A,#N/A,TRUE,"Лист2";#N/A,#N/A,TRUE,"Лист3"}</definedName>
    <definedName name="ыуаы" hidden="1">{#N/A,#N/A,TRUE,"Лист1";#N/A,#N/A,TRUE,"Лист2";#N/A,#N/A,TRUE,"Лист3"}</definedName>
    <definedName name="ЫУКЕЦУКЕ" localSheetId="2" hidden="1">{#VALUE!,#N/A,TRUE,0}</definedName>
    <definedName name="ЫУКЕЦУКЕ" hidden="1">{#VALUE!,#N/A,TRUE,0}</definedName>
    <definedName name="ЫУРЕОЕ">#REF!,#REF!,#REF!,#REF!,#REF!,#REF!,#REF!,#REF!,#REF!,#REF!,#REF!,#REF!,#REF!</definedName>
    <definedName name="ыфаф" localSheetId="2" hidden="1">{#N/A,#N/A,TRUE,"Буржуям"}</definedName>
    <definedName name="ыфаф" hidden="1">{#N/A,#N/A,TRUE,"Буржуям"}</definedName>
    <definedName name="ыфв">#REF!</definedName>
    <definedName name="ыцку" localSheetId="2" hidden="1">{"баланс",#N/A,TRUE,"Баланс  на  декабрь"}</definedName>
    <definedName name="ыцку" hidden="1">{"баланс",#N/A,TRUE,"Баланс  на  декабрь"}</definedName>
    <definedName name="ыцлн6лы" localSheetId="2" hidden="1">{0,0}</definedName>
    <definedName name="ыцлн6лы" hidden="1">{0,0}</definedName>
    <definedName name="ыы" localSheetId="2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Фин.операции";#N/A,#N/A,TRUE,"Прочие ";#N/A,#N/A,TRUE,"Титул";#N/A,#N/A,TRUE,"Источники 2";#N/A,#N/A,TRUE,"Зарплата начисл "}</definedName>
    <definedName name="ыы" hidden="1">{#N/A,#N/A,TRUE,"Итоги";#N/A,#N/A,TRUE,"Источники";#N/A,#N/A,TRUE,"Налоги";#N/A,#N/A,TRUE,"Зарплата";#N/A,#N/A,TRUE,"ЭНЕРГИЯ";#N/A,#N/A,TRUE,"СЫРЬЕ";#N/A,#N/A,TRUE,"ОМТС";#N/A,#N/A,TRUE,"Оборудование";#N/A,#N/A,TRUE,"Коммерция";#N/A,#N/A,TRUE,"РЕМОНТЫ";#N/A,#N/A,TRUE,"Фин.операции";#N/A,#N/A,TRUE,"Прочие ";#N/A,#N/A,TRUE,"Титул";#N/A,#N/A,TRUE,"Источники 2";#N/A,#N/A,TRUE,"Зарплата начисл "}</definedName>
    <definedName name="ыыупав">#REF!</definedName>
    <definedName name="ыыы" localSheetId="2" hidden="1">{"det (May)",#N/A,FALSE,"June";"sum (MAY YTD)",#N/A,FALSE,"June YTD"}</definedName>
    <definedName name="ыыы">#REF!</definedName>
    <definedName name="ыыяачпааа" hidden="1">#NAME?</definedName>
    <definedName name="ь" localSheetId="2" hidden="1">#REF!</definedName>
    <definedName name="ь" hidden="1">#REF!</definedName>
    <definedName name="ь138">#REF!</definedName>
    <definedName name="ьавтв">#REF!</definedName>
    <definedName name="ьбю." localSheetId="2" hidden="1">{#N/A,#N/A,FALSE,"Aging Summary";#N/A,#N/A,FALSE,"Ratio Analysis";#N/A,#N/A,FALSE,"Test 120 Day Accts";#N/A,#N/A,FALSE,"Tickmarks"}</definedName>
    <definedName name="ьбю." hidden="1">{#N/A,#N/A,FALSE,"Aging Summary";#N/A,#N/A,FALSE,"Ratio Analysis";#N/A,#N/A,FALSE,"Test 120 Day Accts";#N/A,#N/A,FALSE,"Tickmarks"}</definedName>
    <definedName name="ьвтаолв">#REF!</definedName>
    <definedName name="ьи" localSheetId="2" hidden="1">{#N/A,#N/A,FALSE,"Год 99."}</definedName>
    <definedName name="ьи" hidden="1">{#N/A,#N/A,FALSE,"Год 99."}</definedName>
    <definedName name="ьиотпг" localSheetId="2" hidden="1">{"'РП (2)'!$A$5:$S$150"}</definedName>
    <definedName name="ьиотпг" hidden="1">{"'РП (2)'!$A$5:$S$150"}</definedName>
    <definedName name="ьлко" hidden="1">#NAME?</definedName>
    <definedName name="ьлрв" localSheetId="2" hidden="1">{"'РП (2)'!$A$5:$S$150"}</definedName>
    <definedName name="ьлрв" hidden="1">{"'РП (2)'!$A$5:$S$150"}</definedName>
    <definedName name="ЬМОПСРП">#REF!</definedName>
    <definedName name="ЬМТУП">#REF!</definedName>
    <definedName name="ьпрапиыв" localSheetId="2" hidden="1">{"'РП (2)'!$A$5:$S$150"}</definedName>
    <definedName name="ьпрапиыв" hidden="1">{"'РП (2)'!$A$5:$S$150"}</definedName>
    <definedName name="ЬРСЬС">#REF!,#REF!,#REF!,#REF!,#REF!,#REF!,#REF!,#REF!,#REF!,#REF!,#REF!,#REF!,#REF!</definedName>
    <definedName name="ЬСИПАИ">#REF!</definedName>
    <definedName name="ьти" localSheetId="2" hidden="1">{#N/A,#N/A,FALSE,"Год 99."}</definedName>
    <definedName name="ьти" hidden="1">{#N/A,#N/A,FALSE,"Год 99."}</definedName>
    <definedName name="ЬТМАУЬТ">#REF!</definedName>
    <definedName name="ьтмт">#REF!</definedName>
    <definedName name="ЬТСВЛОА">#REF!</definedName>
    <definedName name="ьь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ьь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ЬЬМРЛРЛ">#REF!</definedName>
    <definedName name="ьььь" localSheetId="2" hidden="1">{#N/A,#N/A,TRUE,"Буржуям"}</definedName>
    <definedName name="ьььь" hidden="1">{#N/A,#N/A,TRUE,"Буржуям"}</definedName>
    <definedName name="э" hidden="1">#REF!</definedName>
    <definedName name="ЭЖЛД" localSheetId="2" hidden="1">{#N/A,#N/A,FALSE,"Valuation Assumptions";#N/A,#N/A,FALSE,"Summary";#N/A,#N/A,FALSE,"DCF";#N/A,#N/A,FALSE,"Valuation";#N/A,#N/A,FALSE,"WACC";#N/A,#N/A,FALSE,"UBVH";#N/A,#N/A,FALSE,"Free Cash Flow"}</definedName>
    <definedName name="ЭЖЛД" hidden="1">{#N/A,#N/A,FALSE,"Valuation Assumptions";#N/A,#N/A,FALSE,"Summary";#N/A,#N/A,FALSE,"DCF";#N/A,#N/A,FALSE,"Valuation";#N/A,#N/A,FALSE,"WACC";#N/A,#N/A,FALSE,"UBVH";#N/A,#N/A,FALSE,"Free Cash Flow"}</definedName>
    <definedName name="Эл.щиты" localSheetId="2" hidden="1">{"IMRAK42x8x8",#N/A,TRUE,"IMRAK 1400 42U 800X800";"IMRAK32x6x6",#N/A,TRUE,"IMRAK 1400 32U 600x600";"IMRAK42x12x8",#N/A,TRUE,"IMRAK 1400 42U 1200x800";"IMRAK15x6x4",#N/A,TRUE,"IMRAK 400 15U FRONT SECTION"}</definedName>
    <definedName name="Эл.щиты" hidden="1">{"IMRAK42x8x8",#N/A,TRUE,"IMRAK 1400 42U 800X800";"IMRAK32x6x6",#N/A,TRUE,"IMRAK 1400 32U 600x600";"IMRAK42x12x8",#N/A,TRUE,"IMRAK 1400 42U 1200x800";"IMRAK15x6x4",#N/A,TRUE,"IMRAK 400 15U FRONT SECTION"}</definedName>
    <definedName name="элд">{"'Всего'!$A$1:$F$19"}</definedName>
    <definedName name="эн.2004" localSheetId="2" hidden="1">{#VALUE!,#N/A,TRUE,0}</definedName>
    <definedName name="эн.2004" hidden="1">{#VALUE!,#N/A,TRUE,0}</definedName>
    <definedName name="эн.2004год" localSheetId="2" hidden="1">{#N/A,#N/A,TRUE,"Буржуям"}</definedName>
    <definedName name="эн.2004год" hidden="1">{#N/A,#N/A,TRUE,"Буржуям"}</definedName>
    <definedName name="энергетика" localSheetId="2" hidden="1">{"баланс",#N/A,TRUE,"Баланс  на  декабрь"}</definedName>
    <definedName name="энергетика" hidden="1">{"баланс",#N/A,TRUE,"Баланс  на  декабрь"}</definedName>
    <definedName name="энергия" localSheetId="2" hidden="1">{#N/A,#N/A,TRUE,"Буржуям"}</definedName>
    <definedName name="энергия" hidden="1">{#N/A,#N/A,TRUE,"Буржуям"}</definedName>
    <definedName name="ю" hidden="1">#REF!</definedName>
    <definedName name="юбьти" localSheetId="2" hidden="1">{"'РП (2)'!$A$5:$S$150"}</definedName>
    <definedName name="юбьти" hidden="1">{"'РП (2)'!$A$5:$S$150"}</definedName>
    <definedName name="юбьтимс" localSheetId="2" hidden="1">{"'РП (2)'!$A$5:$S$150"}</definedName>
    <definedName name="юбьтимс" hidden="1">{"'РП (2)'!$A$5:$S$150"}</definedName>
    <definedName name="юбьтор" localSheetId="2" hidden="1">{"'РП (2)'!$A$5:$S$150"}</definedName>
    <definedName name="юбьтор" hidden="1">{"'РП (2)'!$A$5:$S$150"}</definedName>
    <definedName name="юд" localSheetId="2" hidden="1">{"баланс",#N/A,TRUE,"Баланс  на  декабрь"}</definedName>
    <definedName name="юд" hidden="1">{"баланс",#N/A,TRUE,"Баланс  на  декабрь"}</definedName>
    <definedName name="юлдвытадьвытад" localSheetId="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юлдвытадьвытад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юьб" localSheetId="2" hidden="1">{#N/A,#N/A,FALSE,"Год 99."}</definedName>
    <definedName name="юьб" hidden="1">{#N/A,#N/A,FALSE,"Год 99."}</definedName>
    <definedName name="юю" localSheetId="2" hidden="1">{"Valuation_Common",#N/A,FALSE,"Valuation"}</definedName>
    <definedName name="юю" hidden="1">{"Valuation_Common",#N/A,FALSE,"Valuation"}</definedName>
    <definedName name="ююю" localSheetId="2" hidden="1">{"'РП (2)'!$A$5:$S$150"}</definedName>
    <definedName name="ююю" hidden="1">{"'РП (2)'!$A$5:$S$150"}</definedName>
    <definedName name="юююююююю" localSheetId="2" hidden="1">{#N/A,#N/A,TRUE,"Буржуям"}</definedName>
    <definedName name="юююююююю" hidden="1">{#N/A,#N/A,TRUE,"Буржуям"}</definedName>
    <definedName name="я" hidden="1">#REF!</definedName>
    <definedName name="яавряк" hidden="1">#NAME?</definedName>
    <definedName name="ява" localSheetId="2" hidden="1">{"'Sheet1'!$A$1:$G$85"}</definedName>
    <definedName name="ява" hidden="1">{"'Sheet1'!$A$1:$G$85"}</definedName>
    <definedName name="яваи" localSheetId="2" hidden="1">{"'Sheet1'!$A$1:$G$85"}</definedName>
    <definedName name="яваи" hidden="1">{"'Sheet1'!$A$1:$G$85"}</definedName>
    <definedName name="яияварр" hidden="1">#NAME?</definedName>
    <definedName name="янв" localSheetId="2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нв" hidden="1">{#N/A,#N/A,TRUE,"Итоги";#N/A,#N/A,TRUE,"Источники";#N/A,#N/A,TRUE,"Налоги";#N/A,#N/A,TRUE,"Зарплата";#N/A,#N/A,TRUE,"ЭНЕРГИЯ";#N/A,#N/A,TRUE,"СЫРЬЕ";#N/A,#N/A,TRUE,"Коммерция";#N/A,#N/A,TRUE,"РЕМОНТЫ";#N/A,#N/A,TRUE,"УСО&amp;УРС";#N/A,#N/A,TRUE,"Фин.операции";#N/A,#N/A,TRUE,"Прочие "}</definedName>
    <definedName name="Январь">"$F$14:$G$15;$I$14;$I$15;$F$17:$G$29;$I$17:$I$28;$I$29"</definedName>
    <definedName name="январь1" localSheetId="2" hidden="1">{#VALUE!,#N/A,TRUE,0}</definedName>
    <definedName name="январь1" hidden="1">{#VALUE!,#N/A,TRUE,0}</definedName>
    <definedName name="яп" localSheetId="2" hidden="1">{#VALUE!,#N/A,TRUE,0}</definedName>
    <definedName name="яп" hidden="1">{#VALUE!,#N/A,TRUE,0}</definedName>
    <definedName name="яп1" localSheetId="2" hidden="1">{#VALUE!,#N/A,TRUE,0}</definedName>
    <definedName name="яп1" hidden="1">{#VALUE!,#N/A,TRUE,0}</definedName>
    <definedName name="ясарврпавр" hidden="1">#NAME?</definedName>
    <definedName name="яф" localSheetId="2" hidden="1">{#N/A,#N/A,FALSE,"Aging Summary";#N/A,#N/A,FALSE,"Ratio Analysis";#N/A,#N/A,FALSE,"Test 120 Day Accts";#N/A,#N/A,FALSE,"Tickmarks"}</definedName>
    <definedName name="яф" hidden="1">{#N/A,#N/A,FALSE,"Aging Summary";#N/A,#N/A,FALSE,"Ratio Analysis";#N/A,#N/A,FALSE,"Test 120 Day Accts";#N/A,#N/A,FALSE,"Tickmarks"}</definedName>
    <definedName name="яфыв" localSheetId="2" hidden="1">{"'РП (2)'!$A$5:$S$150"}</definedName>
    <definedName name="яфыв" hidden="1">{"'РП (2)'!$A$5:$S$150"}</definedName>
    <definedName name="яфывсф" localSheetId="2" hidden="1">{"'РП (2)'!$A$5:$S$150"}</definedName>
    <definedName name="яфывсф" hidden="1">{"'РП (2)'!$A$5:$S$150"}</definedName>
    <definedName name="яч" localSheetId="2" hidden="1">{#N/A,#N/A,FALSE,"Aging Summary";#N/A,#N/A,FALSE,"Ratio Analysis";#N/A,#N/A,FALSE,"Test 120 Day Accts";#N/A,#N/A,FALSE,"Tickmarks"}</definedName>
    <definedName name="яч" hidden="1">{#N/A,#N/A,FALSE,"Aging Summary";#N/A,#N/A,FALSE,"Ratio Analysis";#N/A,#N/A,FALSE,"Test 120 Day Accts";#N/A,#N/A,FALSE,"Tickmarks"}</definedName>
    <definedName name="ячсячс" localSheetId="2" hidden="1">{"'РП (2)'!$A$5:$S$150"}</definedName>
    <definedName name="ячсячс" hidden="1">{"'РП (2)'!$A$5:$S$150"}</definedName>
    <definedName name="яычваспрм" localSheetId="2" hidden="1">{0,0}</definedName>
    <definedName name="яычваспрм" hidden="1">{0,0}</definedName>
    <definedName name="яя" localSheetId="2" hidden="1">{"баланс",#N/A,TRUE,"Баланс  на  декабрь"}</definedName>
    <definedName name="яя" hidden="1">{"баланс",#N/A,TRUE,"Баланс  на  декабрь"}</definedName>
    <definedName name="яява" localSheetId="2" hidden="1">{#N/A,#N/A,FALSE,"Год 99."}</definedName>
    <definedName name="яява" hidden="1">{#N/A,#N/A,FALSE,"Год 99."}</definedName>
    <definedName name="яяя" localSheetId="2" hidden="1">{"'9'!$A$1:$S$99"}</definedName>
    <definedName name="яяя" hidden="1">{"'9'!$A$1:$S$99"}</definedName>
    <definedName name="яяяя" localSheetId="2" hidden="1">{#N/A,#N/A,TRUE,"Буржуям"}</definedName>
    <definedName name="яяяя" hidden="1">{#N/A,#N/A,TRUE,"Буржуям"}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3" i="4" l="1"/>
  <c r="P73" i="4"/>
  <c r="O73" i="4"/>
  <c r="N73" i="4"/>
  <c r="M73" i="4"/>
  <c r="L73" i="4"/>
  <c r="K73" i="4"/>
  <c r="J73" i="4"/>
  <c r="I73" i="4"/>
  <c r="H73" i="4"/>
  <c r="G73" i="4"/>
  <c r="F73" i="4"/>
  <c r="Q72" i="4"/>
  <c r="P72" i="4"/>
  <c r="O72" i="4"/>
  <c r="N72" i="4"/>
  <c r="M72" i="4"/>
  <c r="L72" i="4"/>
  <c r="K72" i="4"/>
  <c r="J72" i="4"/>
  <c r="I72" i="4"/>
  <c r="H72" i="4"/>
  <c r="G72" i="4"/>
  <c r="F72" i="4"/>
  <c r="AH71" i="4"/>
  <c r="AG71" i="4"/>
  <c r="AF71" i="4"/>
  <c r="AE71" i="4"/>
  <c r="AD71" i="4"/>
  <c r="AC71" i="4"/>
  <c r="AB71" i="4"/>
  <c r="AA71" i="4"/>
  <c r="Z71" i="4"/>
  <c r="Y71" i="4"/>
  <c r="X71" i="4"/>
  <c r="W71" i="4"/>
  <c r="Q71" i="4"/>
  <c r="P71" i="4"/>
  <c r="O71" i="4"/>
  <c r="N71" i="4"/>
  <c r="M71" i="4"/>
  <c r="L71" i="4"/>
  <c r="K71" i="4"/>
  <c r="J71" i="4"/>
  <c r="I71" i="4"/>
  <c r="H71" i="4"/>
  <c r="G71" i="4"/>
  <c r="F71" i="4"/>
  <c r="AH70" i="4"/>
  <c r="AG70" i="4"/>
  <c r="AF70" i="4"/>
  <c r="AE70" i="4"/>
  <c r="AD70" i="4"/>
  <c r="AC70" i="4"/>
  <c r="AB70" i="4"/>
  <c r="AA70" i="4"/>
  <c r="Z70" i="4"/>
  <c r="Y70" i="4"/>
  <c r="X70" i="4"/>
  <c r="W70" i="4"/>
  <c r="Q70" i="4"/>
  <c r="P70" i="4"/>
  <c r="O70" i="4"/>
  <c r="N70" i="4"/>
  <c r="M70" i="4"/>
  <c r="L70" i="4"/>
  <c r="K70" i="4"/>
  <c r="J70" i="4"/>
  <c r="I70" i="4"/>
  <c r="H70" i="4"/>
  <c r="G70" i="4"/>
  <c r="F70" i="4"/>
  <c r="AU69" i="4"/>
  <c r="AT69" i="4"/>
  <c r="AS69" i="4"/>
  <c r="AR69" i="4"/>
  <c r="AQ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Q69" i="4"/>
  <c r="P69" i="4"/>
  <c r="O69" i="4"/>
  <c r="N69" i="4"/>
  <c r="M69" i="4"/>
  <c r="L69" i="4"/>
  <c r="K69" i="4"/>
  <c r="J69" i="4"/>
  <c r="I69" i="4"/>
  <c r="H69" i="4"/>
  <c r="G69" i="4"/>
  <c r="F69" i="4"/>
  <c r="AV66" i="4"/>
  <c r="AO66" i="4"/>
  <c r="AV65" i="4"/>
  <c r="X64" i="4"/>
  <c r="W64" i="4"/>
  <c r="O64" i="4"/>
  <c r="N64" i="4"/>
  <c r="M64" i="4"/>
  <c r="L64" i="4"/>
  <c r="K64" i="4"/>
  <c r="J64" i="4"/>
  <c r="I64" i="4"/>
  <c r="H64" i="4"/>
  <c r="G64" i="4"/>
  <c r="F64" i="4"/>
  <c r="AU63" i="4"/>
  <c r="AV63" i="4" s="1"/>
  <c r="AT63" i="4"/>
  <c r="AS63" i="4"/>
  <c r="AR63" i="4"/>
  <c r="AQ63" i="4"/>
  <c r="AO63" i="4"/>
  <c r="AH62" i="4"/>
  <c r="AG62" i="4"/>
  <c r="AF62" i="4"/>
  <c r="AE62" i="4"/>
  <c r="AD62" i="4"/>
  <c r="AC62" i="4"/>
  <c r="AB62" i="4"/>
  <c r="AA62" i="4"/>
  <c r="Z62" i="4"/>
  <c r="Y62" i="4"/>
  <c r="X62" i="4"/>
  <c r="W62" i="4"/>
  <c r="O62" i="4"/>
  <c r="AC61" i="4"/>
  <c r="AB61" i="4"/>
  <c r="AA61" i="4"/>
  <c r="W61" i="4"/>
  <c r="AS60" i="4"/>
  <c r="AP60" i="4"/>
  <c r="AO60" i="4"/>
  <c r="AU59" i="4"/>
  <c r="AU60" i="4" s="1"/>
  <c r="AV60" i="4" s="1"/>
  <c r="AT59" i="4"/>
  <c r="AT60" i="4" s="1"/>
  <c r="AS59" i="4"/>
  <c r="AR59" i="4"/>
  <c r="AR60" i="4" s="1"/>
  <c r="AQ59" i="4"/>
  <c r="AQ60" i="4" s="1"/>
  <c r="AG59" i="4"/>
  <c r="AF59" i="4"/>
  <c r="AE59" i="4"/>
  <c r="AC59" i="4"/>
  <c r="Z59" i="4"/>
  <c r="X59" i="4"/>
  <c r="W59" i="4"/>
  <c r="Q59" i="4"/>
  <c r="P59" i="4"/>
  <c r="O59" i="4"/>
  <c r="N59" i="4"/>
  <c r="M59" i="4"/>
  <c r="L59" i="4"/>
  <c r="K59" i="4"/>
  <c r="J59" i="4"/>
  <c r="I59" i="4"/>
  <c r="H59" i="4"/>
  <c r="H50" i="4" s="1"/>
  <c r="G59" i="4"/>
  <c r="F59" i="4"/>
  <c r="Y58" i="4"/>
  <c r="X58" i="4"/>
  <c r="W58" i="4"/>
  <c r="Q58" i="4"/>
  <c r="P58" i="4"/>
  <c r="O58" i="4"/>
  <c r="N58" i="4"/>
  <c r="M58" i="4"/>
  <c r="L58" i="4"/>
  <c r="K58" i="4"/>
  <c r="J58" i="4"/>
  <c r="I58" i="4"/>
  <c r="I50" i="4" s="1"/>
  <c r="H58" i="4"/>
  <c r="G58" i="4"/>
  <c r="F58" i="4"/>
  <c r="O57" i="4"/>
  <c r="O50" i="4" s="1"/>
  <c r="AO56" i="4"/>
  <c r="AO57" i="4" s="1"/>
  <c r="Z56" i="4"/>
  <c r="X56" i="4"/>
  <c r="W56" i="4"/>
  <c r="K56" i="4"/>
  <c r="J56" i="4"/>
  <c r="I56" i="4"/>
  <c r="H56" i="4"/>
  <c r="G56" i="4"/>
  <c r="F56" i="4"/>
  <c r="AO55" i="4"/>
  <c r="AF55" i="4"/>
  <c r="AE55" i="4"/>
  <c r="AD55" i="4"/>
  <c r="AC55" i="4"/>
  <c r="AB55" i="4"/>
  <c r="AA55" i="4"/>
  <c r="Z55" i="4"/>
  <c r="Y55" i="4"/>
  <c r="X55" i="4"/>
  <c r="W55" i="4"/>
  <c r="Q55" i="4"/>
  <c r="P55" i="4"/>
  <c r="O55" i="4"/>
  <c r="AU54" i="4"/>
  <c r="AT54" i="4"/>
  <c r="AS54" i="4"/>
  <c r="AR54" i="4"/>
  <c r="AQ54" i="4"/>
  <c r="AP54" i="4"/>
  <c r="AO54" i="4"/>
  <c r="W54" i="4"/>
  <c r="W57" i="4" s="1"/>
  <c r="AU53" i="4"/>
  <c r="AT53" i="4"/>
  <c r="AS53" i="4"/>
  <c r="W53" i="4"/>
  <c r="W50" i="4" s="1"/>
  <c r="Q53" i="4"/>
  <c r="P53" i="4"/>
  <c r="O53" i="4"/>
  <c r="N53" i="4"/>
  <c r="M53" i="4"/>
  <c r="L53" i="4"/>
  <c r="K53" i="4"/>
  <c r="J53" i="4"/>
  <c r="I53" i="4"/>
  <c r="H53" i="4"/>
  <c r="G53" i="4"/>
  <c r="F53" i="4"/>
  <c r="Q52" i="4"/>
  <c r="Q50" i="4" s="1"/>
  <c r="P52" i="4"/>
  <c r="P50" i="4" s="1"/>
  <c r="O52" i="4"/>
  <c r="N52" i="4"/>
  <c r="N50" i="4" s="1"/>
  <c r="M52" i="4"/>
  <c r="L52" i="4"/>
  <c r="K52" i="4"/>
  <c r="J52" i="4"/>
  <c r="I52" i="4"/>
  <c r="H52" i="4"/>
  <c r="G52" i="4"/>
  <c r="G50" i="4" s="1"/>
  <c r="F52" i="4"/>
  <c r="Q51" i="4"/>
  <c r="P51" i="4"/>
  <c r="O51" i="4"/>
  <c r="N51" i="4"/>
  <c r="M51" i="4"/>
  <c r="M50" i="4" s="1"/>
  <c r="L51" i="4"/>
  <c r="L50" i="4" s="1"/>
  <c r="K51" i="4"/>
  <c r="K50" i="4" s="1"/>
  <c r="J51" i="4"/>
  <c r="J50" i="4" s="1"/>
  <c r="I51" i="4"/>
  <c r="H51" i="4"/>
  <c r="G51" i="4"/>
  <c r="F51" i="4"/>
  <c r="AN50" i="4"/>
  <c r="AM50" i="4"/>
  <c r="AL50" i="4"/>
  <c r="AK50" i="4"/>
  <c r="AJ50" i="4"/>
  <c r="F50" i="4"/>
  <c r="AO49" i="4"/>
  <c r="AO73" i="4" s="1"/>
  <c r="AN49" i="4"/>
  <c r="AM49" i="4"/>
  <c r="AL49" i="4"/>
  <c r="AK49" i="4"/>
  <c r="AJ49" i="4"/>
  <c r="AN48" i="4"/>
  <c r="AO48" i="4" s="1"/>
  <c r="AM48" i="4"/>
  <c r="AL48" i="4"/>
  <c r="AK48" i="4"/>
  <c r="AJ48" i="4"/>
  <c r="AT47" i="4"/>
  <c r="AP47" i="4"/>
  <c r="AP63" i="4" s="1"/>
  <c r="AN47" i="4"/>
  <c r="AM47" i="4"/>
  <c r="AL47" i="4"/>
  <c r="AK47" i="4"/>
  <c r="AJ47" i="4"/>
  <c r="AV47" i="4" s="1"/>
  <c r="AQ46" i="4"/>
  <c r="AR46" i="4" s="1"/>
  <c r="AS46" i="4" s="1"/>
  <c r="AT46" i="4" s="1"/>
  <c r="AU46" i="4" s="1"/>
  <c r="AV46" i="4" s="1"/>
  <c r="AN46" i="4"/>
  <c r="AM46" i="4"/>
  <c r="AL46" i="4"/>
  <c r="AK46" i="4"/>
  <c r="AJ46" i="4"/>
  <c r="AQ45" i="4"/>
  <c r="AR45" i="4" s="1"/>
  <c r="AS45" i="4" s="1"/>
  <c r="AT45" i="4" s="1"/>
  <c r="AU45" i="4" s="1"/>
  <c r="AV45" i="4" s="1"/>
  <c r="AN45" i="4"/>
  <c r="AM45" i="4"/>
  <c r="AL45" i="4"/>
  <c r="AK45" i="4"/>
  <c r="AJ45" i="4"/>
  <c r="AN44" i="4"/>
  <c r="AM44" i="4"/>
  <c r="AL44" i="4"/>
  <c r="AK44" i="4"/>
  <c r="AJ44" i="4"/>
  <c r="AV44" i="4" s="1"/>
  <c r="AN43" i="4"/>
  <c r="AM43" i="4"/>
  <c r="AO43" i="4" s="1"/>
  <c r="AP43" i="4" s="1"/>
  <c r="AQ43" i="4" s="1"/>
  <c r="AR43" i="4" s="1"/>
  <c r="AS43" i="4" s="1"/>
  <c r="AT43" i="4" s="1"/>
  <c r="AU43" i="4" s="1"/>
  <c r="AV43" i="4" s="1"/>
  <c r="AL43" i="4"/>
  <c r="AK43" i="4"/>
  <c r="AJ43" i="4"/>
  <c r="Y43" i="4"/>
  <c r="Y64" i="4" s="1"/>
  <c r="AV42" i="4"/>
  <c r="AN42" i="4"/>
  <c r="AM42" i="4"/>
  <c r="AL42" i="4"/>
  <c r="AK42" i="4"/>
  <c r="AJ42" i="4"/>
  <c r="AH42" i="4"/>
  <c r="AH61" i="4" s="1"/>
  <c r="AV61" i="4" s="1"/>
  <c r="AG42" i="4"/>
  <c r="AG61" i="4" s="1"/>
  <c r="AF42" i="4"/>
  <c r="AF61" i="4" s="1"/>
  <c r="AE42" i="4"/>
  <c r="AE61" i="4" s="1"/>
  <c r="AD42" i="4"/>
  <c r="AD61" i="4" s="1"/>
  <c r="AC42" i="4"/>
  <c r="AB42" i="4"/>
  <c r="AA42" i="4"/>
  <c r="Z42" i="4"/>
  <c r="Z61" i="4" s="1"/>
  <c r="Y42" i="4"/>
  <c r="Y61" i="4" s="1"/>
  <c r="X42" i="4"/>
  <c r="X61" i="4" s="1"/>
  <c r="AN41" i="4"/>
  <c r="AM41" i="4"/>
  <c r="AL41" i="4"/>
  <c r="AK41" i="4"/>
  <c r="AJ41" i="4"/>
  <c r="AV40" i="4"/>
  <c r="AN40" i="4"/>
  <c r="AM40" i="4"/>
  <c r="AL40" i="4"/>
  <c r="AK40" i="4"/>
  <c r="AJ40" i="4"/>
  <c r="AN39" i="4"/>
  <c r="AM39" i="4"/>
  <c r="AL39" i="4"/>
  <c r="AK39" i="4"/>
  <c r="AJ39" i="4"/>
  <c r="AV39" i="4" s="1"/>
  <c r="AB39" i="4"/>
  <c r="Y39" i="4"/>
  <c r="Z39" i="4" s="1"/>
  <c r="X39" i="4"/>
  <c r="AM38" i="4"/>
  <c r="AL38" i="4"/>
  <c r="AK38" i="4"/>
  <c r="AJ38" i="4"/>
  <c r="AV38" i="4" s="1"/>
  <c r="AH38" i="4"/>
  <c r="AH59" i="4" s="1"/>
  <c r="AG38" i="4"/>
  <c r="AF38" i="4"/>
  <c r="AE38" i="4"/>
  <c r="AD38" i="4"/>
  <c r="AD59" i="4" s="1"/>
  <c r="AC38" i="4"/>
  <c r="AB38" i="4"/>
  <c r="AB59" i="4" s="1"/>
  <c r="AA38" i="4"/>
  <c r="AA59" i="4" s="1"/>
  <c r="Z38" i="4"/>
  <c r="Y38" i="4"/>
  <c r="Y59" i="4" s="1"/>
  <c r="X38" i="4"/>
  <c r="AV37" i="4"/>
  <c r="Y37" i="4"/>
  <c r="Z37" i="4" s="1"/>
  <c r="AP36" i="4"/>
  <c r="AQ36" i="4" s="1"/>
  <c r="AM36" i="4"/>
  <c r="AL36" i="4"/>
  <c r="AK36" i="4"/>
  <c r="AJ36" i="4"/>
  <c r="Z36" i="4"/>
  <c r="AA36" i="4" s="1"/>
  <c r="Y36" i="4"/>
  <c r="Y56" i="4" s="1"/>
  <c r="AV35" i="4"/>
  <c r="AG35" i="4"/>
  <c r="AG55" i="4" s="1"/>
  <c r="AV34" i="4"/>
  <c r="AN34" i="4"/>
  <c r="AM34" i="4"/>
  <c r="AL34" i="4"/>
  <c r="AK34" i="4"/>
  <c r="AJ34" i="4"/>
  <c r="Y34" i="4"/>
  <c r="Z34" i="4" s="1"/>
  <c r="X34" i="4"/>
  <c r="X54" i="4" s="1"/>
  <c r="X57" i="4" s="1"/>
  <c r="AV33" i="4"/>
  <c r="AU33" i="4"/>
  <c r="AT33" i="4"/>
  <c r="AS33" i="4"/>
  <c r="AR33" i="4"/>
  <c r="AR53" i="4" s="1"/>
  <c r="AQ33" i="4"/>
  <c r="AQ53" i="4" s="1"/>
  <c r="AP33" i="4"/>
  <c r="AP53" i="4" s="1"/>
  <c r="AO33" i="4"/>
  <c r="AO53" i="4" s="1"/>
  <c r="AN33" i="4"/>
  <c r="AM33" i="4"/>
  <c r="AL33" i="4"/>
  <c r="AK33" i="4"/>
  <c r="AJ33" i="4"/>
  <c r="AU32" i="4"/>
  <c r="AV32" i="4" s="1"/>
  <c r="AT32" i="4"/>
  <c r="AS32" i="4"/>
  <c r="AR32" i="4"/>
  <c r="AQ32" i="4"/>
  <c r="AP32" i="4"/>
  <c r="AN32" i="4"/>
  <c r="AM32" i="4"/>
  <c r="AL32" i="4"/>
  <c r="AK32" i="4"/>
  <c r="AJ32" i="4"/>
  <c r="AU31" i="4"/>
  <c r="AV31" i="4" s="1"/>
  <c r="AT31" i="4"/>
  <c r="AT51" i="4" s="1"/>
  <c r="AS31" i="4"/>
  <c r="AS51" i="4" s="1"/>
  <c r="AR31" i="4"/>
  <c r="AR51" i="4" s="1"/>
  <c r="AQ31" i="4"/>
  <c r="AQ51" i="4" s="1"/>
  <c r="AP31" i="4"/>
  <c r="AP51" i="4" s="1"/>
  <c r="AO31" i="4"/>
  <c r="AO51" i="4" s="1"/>
  <c r="AN31" i="4"/>
  <c r="AM31" i="4"/>
  <c r="AL31" i="4"/>
  <c r="AK31" i="4"/>
  <c r="AJ31" i="4"/>
  <c r="X31" i="4"/>
  <c r="X53" i="4" s="1"/>
  <c r="W31" i="4"/>
  <c r="Y29" i="4"/>
  <c r="AP27" i="4"/>
  <c r="AP71" i="4" s="1"/>
  <c r="AO27" i="4"/>
  <c r="AO71" i="4" s="1"/>
  <c r="AO26" i="4"/>
  <c r="AP26" i="4" s="1"/>
  <c r="AN25" i="4"/>
  <c r="AO25" i="4" s="1"/>
  <c r="AL15" i="4"/>
  <c r="P17" i="1"/>
  <c r="P16" i="1"/>
  <c r="X50" i="4" l="1"/>
  <c r="AA56" i="4"/>
  <c r="AB36" i="4"/>
  <c r="AO69" i="4"/>
  <c r="AP25" i="4"/>
  <c r="AO62" i="4"/>
  <c r="AO50" i="4" s="1"/>
  <c r="AQ26" i="4"/>
  <c r="AP70" i="4"/>
  <c r="Z57" i="4"/>
  <c r="AR36" i="4"/>
  <c r="AQ56" i="4"/>
  <c r="AQ57" i="4" s="1"/>
  <c r="Z54" i="4"/>
  <c r="AA34" i="4"/>
  <c r="Z58" i="4"/>
  <c r="AA37" i="4"/>
  <c r="AO72" i="4"/>
  <c r="AP48" i="4"/>
  <c r="AV59" i="4"/>
  <c r="AQ27" i="4"/>
  <c r="AP56" i="4"/>
  <c r="AP57" i="4" s="1"/>
  <c r="Z43" i="4"/>
  <c r="AP49" i="4"/>
  <c r="AO70" i="4"/>
  <c r="Y31" i="4"/>
  <c r="AH35" i="4"/>
  <c r="AH55" i="4" s="1"/>
  <c r="Y54" i="4"/>
  <c r="Y57" i="4" s="1"/>
  <c r="AU51" i="4"/>
  <c r="AS36" i="4" l="1"/>
  <c r="AR56" i="4"/>
  <c r="AP73" i="4"/>
  <c r="AQ49" i="4"/>
  <c r="Y53" i="4"/>
  <c r="Y50" i="4" s="1"/>
  <c r="Z31" i="4"/>
  <c r="AA43" i="4"/>
  <c r="Z64" i="4"/>
  <c r="AR26" i="4"/>
  <c r="AQ70" i="4"/>
  <c r="AQ62" i="4"/>
  <c r="AQ50" i="4" s="1"/>
  <c r="AP50" i="4"/>
  <c r="AA58" i="4"/>
  <c r="AB37" i="4"/>
  <c r="AP72" i="4"/>
  <c r="AQ48" i="4"/>
  <c r="AQ71" i="4"/>
  <c r="AR27" i="4"/>
  <c r="AP69" i="4"/>
  <c r="AP62" i="4"/>
  <c r="AA54" i="4"/>
  <c r="AA57" i="4" s="1"/>
  <c r="AB34" i="4"/>
  <c r="AB56" i="4"/>
  <c r="AC36" i="4"/>
  <c r="AQ72" i="4" l="1"/>
  <c r="AR48" i="4"/>
  <c r="AC56" i="4"/>
  <c r="AD36" i="4"/>
  <c r="Z53" i="4"/>
  <c r="Z50" i="4" s="1"/>
  <c r="AA31" i="4"/>
  <c r="AS26" i="4"/>
  <c r="AR70" i="4"/>
  <c r="AR62" i="4"/>
  <c r="AR50" i="4" s="1"/>
  <c r="AQ73" i="4"/>
  <c r="AR49" i="4"/>
  <c r="AB58" i="4"/>
  <c r="AC37" i="4"/>
  <c r="AC34" i="4"/>
  <c r="AB54" i="4"/>
  <c r="AB57" i="4" s="1"/>
  <c r="AR71" i="4"/>
  <c r="AS27" i="4"/>
  <c r="AR57" i="4"/>
  <c r="AB43" i="4"/>
  <c r="AA64" i="4"/>
  <c r="AT36" i="4"/>
  <c r="AS56" i="4"/>
  <c r="AS57" i="4" l="1"/>
  <c r="AS50" i="4" s="1"/>
  <c r="AT26" i="4"/>
  <c r="AS70" i="4"/>
  <c r="AS62" i="4"/>
  <c r="AU36" i="4"/>
  <c r="AT56" i="4"/>
  <c r="AA53" i="4"/>
  <c r="AA50" i="4" s="1"/>
  <c r="AB31" i="4"/>
  <c r="AC58" i="4"/>
  <c r="AD37" i="4"/>
  <c r="AC43" i="4"/>
  <c r="AB64" i="4"/>
  <c r="AD56" i="4"/>
  <c r="AE36" i="4"/>
  <c r="AS71" i="4"/>
  <c r="AT27" i="4"/>
  <c r="AD34" i="4"/>
  <c r="AC54" i="4"/>
  <c r="AC57" i="4" s="1"/>
  <c r="AR73" i="4"/>
  <c r="AS49" i="4"/>
  <c r="AR72" i="4"/>
  <c r="AS48" i="4"/>
  <c r="AB53" i="4" l="1"/>
  <c r="AB50" i="4" s="1"/>
  <c r="AC31" i="4"/>
  <c r="AD43" i="4"/>
  <c r="AC64" i="4"/>
  <c r="AE37" i="4"/>
  <c r="AD58" i="4"/>
  <c r="AS72" i="4"/>
  <c r="AT48" i="4"/>
  <c r="AT57" i="4"/>
  <c r="AT50" i="4" s="1"/>
  <c r="AS73" i="4"/>
  <c r="AT49" i="4"/>
  <c r="AE56" i="4"/>
  <c r="AF36" i="4"/>
  <c r="AU56" i="4"/>
  <c r="AV36" i="4"/>
  <c r="AU26" i="4"/>
  <c r="AT70" i="4"/>
  <c r="AT62" i="4"/>
  <c r="AE34" i="4"/>
  <c r="AD54" i="4"/>
  <c r="AD57" i="4" s="1"/>
  <c r="AT71" i="4"/>
  <c r="AU27" i="4"/>
  <c r="AU71" i="4" s="1"/>
  <c r="AU57" i="4" l="1"/>
  <c r="AU50" i="4" s="1"/>
  <c r="AF37" i="4"/>
  <c r="AE58" i="4"/>
  <c r="AT73" i="4"/>
  <c r="AU49" i="4"/>
  <c r="AE43" i="4"/>
  <c r="AD64" i="4"/>
  <c r="AT72" i="4"/>
  <c r="AU48" i="4"/>
  <c r="AC53" i="4"/>
  <c r="AC50" i="4" s="1"/>
  <c r="AD31" i="4"/>
  <c r="AF56" i="4"/>
  <c r="AG36" i="4"/>
  <c r="AE54" i="4"/>
  <c r="AE57" i="4" s="1"/>
  <c r="AF34" i="4"/>
  <c r="AU70" i="4"/>
  <c r="AU62" i="4"/>
  <c r="AV62" i="4" s="1"/>
  <c r="AG56" i="4" l="1"/>
  <c r="AH36" i="4"/>
  <c r="AH56" i="4" s="1"/>
  <c r="AU72" i="4"/>
  <c r="AV48" i="4"/>
  <c r="AD53" i="4"/>
  <c r="AD50" i="4" s="1"/>
  <c r="AE31" i="4"/>
  <c r="AF43" i="4"/>
  <c r="AE64" i="4"/>
  <c r="AU73" i="4"/>
  <c r="AV49" i="4"/>
  <c r="AG37" i="4"/>
  <c r="AF58" i="4"/>
  <c r="AF54" i="4"/>
  <c r="AF57" i="4" s="1"/>
  <c r="AG34" i="4"/>
  <c r="AG54" i="4" l="1"/>
  <c r="AG57" i="4" s="1"/>
  <c r="AH34" i="4"/>
  <c r="AH54" i="4" s="1"/>
  <c r="AH37" i="4"/>
  <c r="AH58" i="4" s="1"/>
  <c r="AV58" i="4" s="1"/>
  <c r="AG58" i="4"/>
  <c r="AG43" i="4"/>
  <c r="AF64" i="4"/>
  <c r="AE53" i="4"/>
  <c r="AE50" i="4" s="1"/>
  <c r="AF31" i="4"/>
  <c r="AF53" i="4" l="1"/>
  <c r="AF50" i="4" s="1"/>
  <c r="AG31" i="4"/>
  <c r="AH43" i="4"/>
  <c r="AH64" i="4" s="1"/>
  <c r="AV64" i="4" s="1"/>
  <c r="AG64" i="4"/>
  <c r="AH57" i="4"/>
  <c r="AV57" i="4" s="1"/>
  <c r="AV54" i="4"/>
  <c r="AG53" i="4" l="1"/>
  <c r="AG50" i="4" s="1"/>
  <c r="AH31" i="4"/>
  <c r="AH53" i="4" s="1"/>
  <c r="AV51" i="4" l="1"/>
  <c r="AH5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Овсянникова Марина Евгеньевна</author>
    <author>Тищенко Владислав</author>
  </authors>
  <commentList>
    <comment ref="B8" authorId="0" shapeId="0" xr:uid="{AD60CD05-F6ED-4383-B850-4B38B2340B65}">
      <text>
        <r>
          <rPr>
            <b/>
            <sz val="9"/>
            <color rgb="FF000000"/>
            <rFont val="Tahoma"/>
            <family val="2"/>
            <charset val="204"/>
          </rPr>
          <t>в 2025 г использовали общий показатель "Лиды на 1 линии"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</text>
    </comment>
    <comment ref="S12" authorId="1" shapeId="0" xr:uid="{F18BB1B0-62E8-44DF-AB34-B6CEAB529EA5}">
      <text>
        <r>
          <rPr>
            <b/>
            <sz val="10"/>
            <color rgb="FF000000"/>
            <rFont val="Tahoma"/>
            <family val="2"/>
            <charset val="204"/>
          </rPr>
          <t>Тищенко Владислав: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пилот до появления КП</t>
        </r>
      </text>
    </comment>
    <comment ref="AK29" authorId="1" shapeId="0" xr:uid="{20F6089E-3A2C-40E2-B4EC-E354A1BA2DFD}">
      <text>
        <r>
          <rPr>
            <b/>
            <sz val="10"/>
            <color rgb="FF000000"/>
            <rFont val="Tahoma"/>
            <family val="2"/>
            <charset val="204"/>
          </rPr>
          <t>Тищенко Владислав: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неконтролируемый рост трафика, % обработки снизился </t>
        </r>
      </text>
    </comment>
    <comment ref="AL29" authorId="1" shapeId="0" xr:uid="{8E7A97B6-70D5-4820-A072-2A024013535F}">
      <text>
        <r>
          <rPr>
            <b/>
            <sz val="10"/>
            <color rgb="FF000000"/>
            <rFont val="Tahoma"/>
            <family val="2"/>
            <charset val="204"/>
          </rPr>
          <t>Тищенко Владислав: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неконтролируемый рост трафика, % обработки снизился </t>
        </r>
      </text>
    </comment>
    <comment ref="AN34" authorId="1" shapeId="0" xr:uid="{02363F47-A5DE-433D-A1F1-DAC0CF0541B7}">
      <text>
        <r>
          <rPr>
            <b/>
            <sz val="10"/>
            <color rgb="FF000000"/>
            <rFont val="Tahoma"/>
            <family val="2"/>
            <charset val="204"/>
          </rPr>
          <t>Тищенко Владислав: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30% трафика из постзалога с конверсией 0,4%</t>
        </r>
      </text>
    </comment>
    <comment ref="AQ34" authorId="1" shapeId="0" xr:uid="{47B9B5F7-8452-4BD3-9D9C-9F152E51F784}">
      <text>
        <r>
          <rPr>
            <b/>
            <sz val="10"/>
            <color rgb="FF000000"/>
            <rFont val="Tahoma"/>
            <family val="2"/>
            <charset val="204"/>
          </rPr>
          <t>Тищенко Владислав: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кнопка бронирования</t>
        </r>
      </text>
    </comment>
    <comment ref="Q59" authorId="0" shapeId="0" xr:uid="{64F2B1BE-56DB-44F0-A7F9-6F45748DFDDC}">
      <text>
        <r>
          <rPr>
            <b/>
            <sz val="9"/>
            <color indexed="81"/>
            <rFont val="Tahoma"/>
            <family val="2"/>
            <charset val="204"/>
          </rPr>
          <t>выделили руководителя для сопоставимости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H59" authorId="0" shapeId="0" xr:uid="{0DE65017-53CD-412D-BCFA-84672BD9641F}">
      <text>
        <r>
          <rPr>
            <b/>
            <sz val="9"/>
            <color indexed="81"/>
            <rFont val="Tahoma"/>
            <family val="2"/>
            <charset val="204"/>
          </rPr>
          <t>выделили отдельно рукодителя</t>
        </r>
      </text>
    </comment>
    <comment ref="AH60" authorId="0" shapeId="0" xr:uid="{30175C71-0568-435A-95D5-E0C2943D4873}">
      <text>
        <r>
          <rPr>
            <sz val="9"/>
            <color indexed="81"/>
            <rFont val="Tahoma"/>
            <family val="2"/>
            <charset val="204"/>
          </rPr>
          <t xml:space="preserve">выделили из коррдинаторов сделок
</t>
        </r>
      </text>
    </comment>
    <comment ref="AH62" authorId="0" shapeId="0" xr:uid="{509D53E1-B176-4427-80A2-D588E9DD122F}">
      <text>
        <r>
          <rPr>
            <b/>
            <sz val="9"/>
            <color indexed="81"/>
            <rFont val="Tahoma"/>
            <family val="2"/>
            <charset val="204"/>
          </rPr>
          <t>для сопоставимости выделили отдельно координаторов партнерского отдела</t>
        </r>
      </text>
    </comment>
    <comment ref="AH63" authorId="0" shapeId="0" xr:uid="{1E65CB54-F36A-49EE-B9A0-F00BCB2BF2F3}">
      <text>
        <r>
          <rPr>
            <b/>
            <sz val="9"/>
            <color indexed="81"/>
            <rFont val="Tahoma"/>
            <family val="2"/>
            <charset val="204"/>
          </rPr>
          <t>выдедили для сопоставимости из Дилеров и импотреров</t>
        </r>
      </text>
    </comment>
  </commentList>
</comments>
</file>

<file path=xl/sharedStrings.xml><?xml version="1.0" encoding="utf-8"?>
<sst xmlns="http://schemas.openxmlformats.org/spreadsheetml/2006/main" count="1172" uniqueCount="266">
  <si>
    <t>Драйверная модель</t>
  </si>
  <si>
    <t>Текущий месяц</t>
  </si>
  <si>
    <t>Год</t>
  </si>
  <si>
    <t>Факт46053</t>
  </si>
  <si>
    <t>Факт46081</t>
  </si>
  <si>
    <t>Факт46112</t>
  </si>
  <si>
    <t>Факт46142</t>
  </si>
  <si>
    <t>Факт46173</t>
  </si>
  <si>
    <t>Прогноз46203</t>
  </si>
  <si>
    <t>Прогноз46234</t>
  </si>
  <si>
    <t>Прогноз46265</t>
  </si>
  <si>
    <t>Прогноз46295</t>
  </si>
  <si>
    <t>Прогноз46326</t>
  </si>
  <si>
    <t>Прогноз46356</t>
  </si>
  <si>
    <t>Прогноз46387</t>
  </si>
  <si>
    <t>V2</t>
  </si>
  <si>
    <t>Период</t>
  </si>
  <si>
    <t>Ед.изм.</t>
  </si>
  <si>
    <t>Факт</t>
  </si>
  <si>
    <t>Прогноз</t>
  </si>
  <si>
    <t>Факт+прогноз</t>
  </si>
  <si>
    <t>Пенетрация продуктов в кредит</t>
  </si>
  <si>
    <t>Итоговое КВ</t>
  </si>
  <si>
    <t>B2C</t>
  </si>
  <si>
    <t>Метрики для расчетов</t>
  </si>
  <si>
    <t>Лиды</t>
  </si>
  <si>
    <t>шт.</t>
  </si>
  <si>
    <t>Проникновение кредита в продажу авто</t>
  </si>
  <si>
    <t>%</t>
  </si>
  <si>
    <t>Кол-во выданных кредитов</t>
  </si>
  <si>
    <t>Сквозной CR% / TR%</t>
  </si>
  <si>
    <t>Количество продуктов</t>
  </si>
  <si>
    <t>Новые авто с КВ</t>
  </si>
  <si>
    <t>Новые авто без КВ</t>
  </si>
  <si>
    <t>Б/у с КВ</t>
  </si>
  <si>
    <t>Б/у без КВ</t>
  </si>
  <si>
    <t>Структура выданных авто</t>
  </si>
  <si>
    <t>Авто с КВ</t>
  </si>
  <si>
    <t>Авто без КВ</t>
  </si>
  <si>
    <t>Структура брендов (новые авто)</t>
  </si>
  <si>
    <t>Lada</t>
  </si>
  <si>
    <t>Иномарки</t>
  </si>
  <si>
    <t>Средний чек</t>
  </si>
  <si>
    <t>Ср. чек нового авто (с НДС)</t>
  </si>
  <si>
    <t>млн руб.</t>
  </si>
  <si>
    <t>Ср. чек б/у авто (с НДС)</t>
  </si>
  <si>
    <t>Ср. чек кредита (с НДС)</t>
  </si>
  <si>
    <t>Доп. Продукты</t>
  </si>
  <si>
    <t>Выдачи ФДЦ</t>
  </si>
  <si>
    <t>Проникновение допов</t>
  </si>
  <si>
    <t>% допа</t>
  </si>
  <si>
    <t>Маржа с допа</t>
  </si>
  <si>
    <t>Комиссия</t>
  </si>
  <si>
    <t>Новые авто</t>
  </si>
  <si>
    <t>Б/у авто</t>
  </si>
  <si>
    <t>GMW проданных авто</t>
  </si>
  <si>
    <t>Выкуп</t>
  </si>
  <si>
    <t>Количество партнерских сделок</t>
  </si>
  <si>
    <t>ARPU сделки</t>
  </si>
  <si>
    <t>тыс.руб</t>
  </si>
  <si>
    <t>Количество лидов</t>
  </si>
  <si>
    <t>ARPU лиды</t>
  </si>
  <si>
    <t>КВ СберАвто без НДС</t>
  </si>
  <si>
    <t>КВ от выкупа (без НДС)</t>
  </si>
  <si>
    <t>Сервисы владения</t>
  </si>
  <si>
    <t>ТО</t>
  </si>
  <si>
    <t>Шиномонтаж</t>
  </si>
  <si>
    <t>Запчасти</t>
  </si>
  <si>
    <t>Детейлинг</t>
  </si>
  <si>
    <t>B2B</t>
  </si>
  <si>
    <t>F&amp;I</t>
  </si>
  <si>
    <t>Кол-во оплат (транзакций)</t>
  </si>
  <si>
    <t>Кол-во реализаций</t>
  </si>
  <si>
    <t>Маржа(без НДС)</t>
  </si>
  <si>
    <t>Маржа на 1 е.д.</t>
  </si>
  <si>
    <t>ARPU</t>
  </si>
  <si>
    <t>Постзалог</t>
  </si>
  <si>
    <t>Кредитные заявки (постзалог)</t>
  </si>
  <si>
    <t>Уровень одобрения, AR</t>
  </si>
  <si>
    <t>Одобренные кредитные заявки</t>
  </si>
  <si>
    <t>Уникальные клиенты с одобрением</t>
  </si>
  <si>
    <t>Конверсия уник. Клиенты и заявки</t>
  </si>
  <si>
    <t>Кол-во выставленных ссылок</t>
  </si>
  <si>
    <t>Конверсия ссылки и заявки</t>
  </si>
  <si>
    <t>CR % выдача/одобренные</t>
  </si>
  <si>
    <t>CR %   сквозной</t>
  </si>
  <si>
    <t>Кол-во выданных кредитов по каналам</t>
  </si>
  <si>
    <t>Органика СБОЛ</t>
  </si>
  <si>
    <t>Классифайды</t>
  </si>
  <si>
    <t>Собственный канал привлечения</t>
  </si>
  <si>
    <t>Полное досрочное погашение (ПДП)</t>
  </si>
  <si>
    <t>ПДП</t>
  </si>
  <si>
    <t>Фин. КАСКО</t>
  </si>
  <si>
    <t>КАСКО Д2</t>
  </si>
  <si>
    <t>Кредит</t>
  </si>
  <si>
    <t>Др. продукты</t>
  </si>
  <si>
    <t>Неактуальные автопакеты</t>
  </si>
  <si>
    <t>Возврат доп. продуктов</t>
  </si>
  <si>
    <t>ОСАГО</t>
  </si>
  <si>
    <t>ГАП</t>
  </si>
  <si>
    <t>Каско</t>
  </si>
  <si>
    <t>Пенетрация в кредит</t>
  </si>
  <si>
    <t>млн.руб.</t>
  </si>
  <si>
    <t>Автопомощь</t>
  </si>
  <si>
    <t>C2C</t>
  </si>
  <si>
    <t>Прочее</t>
  </si>
  <si>
    <t>Количество сделок</t>
  </si>
  <si>
    <t>тыс руб.</t>
  </si>
  <si>
    <t>Входящие заявки</t>
  </si>
  <si>
    <t>Продажи менеджерами</t>
  </si>
  <si>
    <t>Ответственный</t>
  </si>
  <si>
    <t>Федорченко И.</t>
  </si>
  <si>
    <t>Чернов Н.</t>
  </si>
  <si>
    <t>Артамошин М.</t>
  </si>
  <si>
    <t>Трусов В.</t>
  </si>
  <si>
    <t>Лазарев А.</t>
  </si>
  <si>
    <t>Гамаюнов В.</t>
  </si>
  <si>
    <t>Пронякин В.</t>
  </si>
  <si>
    <t>Пронякин Р.</t>
  </si>
  <si>
    <t xml:space="preserve">не подконтрольно </t>
  </si>
  <si>
    <t>Прочее (Отказники)</t>
  </si>
  <si>
    <t>Артамошин М./ Картошкин А.</t>
  </si>
  <si>
    <t>Пронякин Р./Картошкин А.</t>
  </si>
  <si>
    <t>лид -&gt; квал лид</t>
  </si>
  <si>
    <t>квал лид -&gt; продажа</t>
  </si>
  <si>
    <t>Трусов В./Пронякин Р.</t>
  </si>
  <si>
    <t>Трусов В./Картошкин А.</t>
  </si>
  <si>
    <t>Артамошин М.(вернуться в ОМ)</t>
  </si>
  <si>
    <t>Бюджет 2026</t>
  </si>
  <si>
    <t>Янв25</t>
  </si>
  <si>
    <t>Фев25</t>
  </si>
  <si>
    <t>Мар25</t>
  </si>
  <si>
    <t>Апр25</t>
  </si>
  <si>
    <t>Май25</t>
  </si>
  <si>
    <t>Июн25</t>
  </si>
  <si>
    <t>Июл25</t>
  </si>
  <si>
    <t>Авг25</t>
  </si>
  <si>
    <t>Сен25</t>
  </si>
  <si>
    <t>Окт25</t>
  </si>
  <si>
    <t>Ноя25</t>
  </si>
  <si>
    <t>Дек25</t>
  </si>
  <si>
    <t>Янв26</t>
  </si>
  <si>
    <t>Фев26</t>
  </si>
  <si>
    <t>Мар26</t>
  </si>
  <si>
    <t>Апр26</t>
  </si>
  <si>
    <t>Май26</t>
  </si>
  <si>
    <t>Июн26</t>
  </si>
  <si>
    <t>Июл26</t>
  </si>
  <si>
    <t>Авг26</t>
  </si>
  <si>
    <t>Сен26</t>
  </si>
  <si>
    <t>Окт26</t>
  </si>
  <si>
    <t>Ноя26</t>
  </si>
  <si>
    <t>Дек26</t>
  </si>
  <si>
    <t>Янв27</t>
  </si>
  <si>
    <t>Фев27</t>
  </si>
  <si>
    <t>Мар27</t>
  </si>
  <si>
    <t>Апр27</t>
  </si>
  <si>
    <t>Май27</t>
  </si>
  <si>
    <t>Июн27</t>
  </si>
  <si>
    <t>Июл27</t>
  </si>
  <si>
    <t>Авг27</t>
  </si>
  <si>
    <t>Сен27</t>
  </si>
  <si>
    <t>Окт27</t>
  </si>
  <si>
    <t>Ноя27</t>
  </si>
  <si>
    <t>Дек27</t>
  </si>
  <si>
    <t>Драйверы директ численности</t>
  </si>
  <si>
    <t>Драйверная модель численности</t>
  </si>
  <si>
    <t>Входящий трафик</t>
  </si>
  <si>
    <t>Доходные драйверы</t>
  </si>
  <si>
    <t>Лиды на авто В2С</t>
  </si>
  <si>
    <t>Лиды на авто С2С</t>
  </si>
  <si>
    <t>Лиды постзалог</t>
  </si>
  <si>
    <t>Лиды для 1-й линии (КЦ)</t>
  </si>
  <si>
    <t>объем лидов, поступающих на обработку в 1-ю линию факт + план исходя из прогноза постзалога</t>
  </si>
  <si>
    <t>Лиды на оценку и выкуп авто</t>
  </si>
  <si>
    <t>Лиды на сервисы владения (ТО, ШМ)</t>
  </si>
  <si>
    <t>Отказной траффик</t>
  </si>
  <si>
    <t>Операции (звонки, обращения, сделки, транзакции, продукты)</t>
  </si>
  <si>
    <t>Общий объем продаж авто с КВ (шт.)</t>
  </si>
  <si>
    <t>Авто В2С (продажа новых авто менеджерами)</t>
  </si>
  <si>
    <t>Сделка В2С</t>
  </si>
  <si>
    <t>Авто С2С (продажа безопасной сделки)</t>
  </si>
  <si>
    <t>Сделка С2С</t>
  </si>
  <si>
    <t>Постзалог (выдачи кредитов)</t>
  </si>
  <si>
    <t>Выдача кредита (постзалог)</t>
  </si>
  <si>
    <t>Сделки выкупа</t>
  </si>
  <si>
    <t>Транзакции сервисов владения</t>
  </si>
  <si>
    <t>Страховые продукты (КАСКО)</t>
  </si>
  <si>
    <t>Страховые продукты</t>
  </si>
  <si>
    <t>Проверка и подбор авто</t>
  </si>
  <si>
    <t>Количество обработанных претензий</t>
  </si>
  <si>
    <t>Количество прослушанных звонков</t>
  </si>
  <si>
    <t>Партнерская сеть</t>
  </si>
  <si>
    <t>Кол-во Брендов</t>
  </si>
  <si>
    <t>Кол-во брендов</t>
  </si>
  <si>
    <t>Дилеров ТОП-12 (Федералы)</t>
  </si>
  <si>
    <t>Дилеры Федералы</t>
  </si>
  <si>
    <t>Дилеры Регионалы</t>
  </si>
  <si>
    <t>Производительность труда</t>
  </si>
  <si>
    <t>Драйверы производительности</t>
  </si>
  <si>
    <t>Менеджер КЦ</t>
  </si>
  <si>
    <t>% лидов обрабатываемых КЦ пост залог</t>
  </si>
  <si>
    <t>% лидов обрабатываемых КЦ</t>
  </si>
  <si>
    <t>только определенные статусы, поступающие на 1-ю линию</t>
  </si>
  <si>
    <t>% лидов обрабатываемых КЦ C2C</t>
  </si>
  <si>
    <t>Кол-во обработанных лидов на 1 спеца B2C</t>
  </si>
  <si>
    <t>Кол-во обработанных лидов на 1 спеца</t>
  </si>
  <si>
    <t>кол-во обрабатываемых лидов в смену * кол-во смен в месяц</t>
  </si>
  <si>
    <t>Кол-во обработанных лидов на 1 спеца C2C</t>
  </si>
  <si>
    <t>Кол-во обработанных лидов на 1 спеца пост залог</t>
  </si>
  <si>
    <t>Менеджер ОП В2С</t>
  </si>
  <si>
    <t>Кол-во сделок В2С на 1 МОП</t>
  </si>
  <si>
    <t>Менеджер ОП С2С</t>
  </si>
  <si>
    <t>Кол-во сделок С2С на 1 МОП</t>
  </si>
  <si>
    <t>Не выделяли в отдельное направление, новый процесс</t>
  </si>
  <si>
    <t>Менеджер ОП постзалог</t>
  </si>
  <si>
    <t>Кол-во сделок постзалог на 1 МОП</t>
  </si>
  <si>
    <t>Специалист страхования</t>
  </si>
  <si>
    <t>Кол-во оформленных страх полисов на 1 спеца</t>
  </si>
  <si>
    <t>Координатор Постзалог</t>
  </si>
  <si>
    <t>Кол-во внесенных сделок в CRM на 1 координатора</t>
  </si>
  <si>
    <t>Координатор сделок</t>
  </si>
  <si>
    <t>Старший менеджер ОП</t>
  </si>
  <si>
    <t>Кол-во МОП в группе на 1 старшего</t>
  </si>
  <si>
    <t>Руководитель кооординаторов сделок</t>
  </si>
  <si>
    <t>Кол-во координаторов на 1 рук-ля</t>
  </si>
  <si>
    <t>Руководитель контроля качества</t>
  </si>
  <si>
    <t>Кол-во специалистов на 1 рук-ля</t>
  </si>
  <si>
    <t>Специалист автоподбора</t>
  </si>
  <si>
    <t>Кол-во завершенных автоподборов и проверок авто</t>
  </si>
  <si>
    <t>Сервис владения авто</t>
  </si>
  <si>
    <t>Кол-во транзакций на 1 менеджера</t>
  </si>
  <si>
    <t>для команды СВ использовать др драйверы</t>
  </si>
  <si>
    <t>Дилеры и импортеры</t>
  </si>
  <si>
    <t>Кол-во брендов на 1 менеджера ОЕМ</t>
  </si>
  <si>
    <t>Кол-во ФДЦ на 1 КАМ</t>
  </si>
  <si>
    <t>Возможен апдейт после корректировки строк 89-90</t>
  </si>
  <si>
    <t>Кол-во РДЦ на 1 РМ</t>
  </si>
  <si>
    <t>Координатор В2С</t>
  </si>
  <si>
    <t>Специалист контроля качества</t>
  </si>
  <si>
    <t>Требуемая численность* факт + прогноз</t>
  </si>
  <si>
    <t>Требуемая численность*</t>
  </si>
  <si>
    <t>Менеджер КЦ новые авто</t>
  </si>
  <si>
    <t>1-я линия</t>
  </si>
  <si>
    <t>Direct</t>
  </si>
  <si>
    <t>Драйверы</t>
  </si>
  <si>
    <t>разделили B2C, С2С и пост залог</t>
  </si>
  <si>
    <t>Менеджер КЦ C2C</t>
  </si>
  <si>
    <t>Менеджер КЦ пост залог</t>
  </si>
  <si>
    <t>Коммерческий департамент</t>
  </si>
  <si>
    <t>2-я линия</t>
  </si>
  <si>
    <t>C2C в меньшем объеме,чем в БП</t>
  </si>
  <si>
    <t>Менеджер ОП пост залог</t>
  </si>
  <si>
    <t>(4 старш постзалог + 2 старш новые авто)</t>
  </si>
  <si>
    <t>Сопровождение 2-й линии</t>
  </si>
  <si>
    <t>перераспред объемы на координаторов сделок</t>
  </si>
  <si>
    <t>сделки + страх полисы</t>
  </si>
  <si>
    <t xml:space="preserve"> (Подбор -3, Андерайтинг -3; Ангелов, Погожев -2 ШЕ с июля). Привязано к С2С направлению. Внутри БС должно быть х кол-во подборови проверок авто для расчета драйверной этих функций)</t>
  </si>
  <si>
    <t>Партнерский отдел</t>
  </si>
  <si>
    <t>Координатор партнерского отдела</t>
  </si>
  <si>
    <t>Сервисы владения авто</t>
  </si>
  <si>
    <t>Владение авто</t>
  </si>
  <si>
    <t>несколько функ направлений - 1 строка больше не подходит с учетом сезонности ШМ</t>
  </si>
  <si>
    <t>Контроль качества</t>
  </si>
  <si>
    <t>Закрытые подразделения</t>
  </si>
  <si>
    <t>*Без рекрутинга и техподдержки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</si>
</sst>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??_);_(@_)"/>
    <numFmt numFmtId="165" formatCode="#,##0.0\x;\ \-#,##0.0\x;\ \-"/>
    <numFmt numFmtId="166" formatCode="0.0%"/>
    <numFmt numFmtId="167" formatCode="0.0"/>
    <numFmt numFmtId="168" formatCode="0.000"/>
    <numFmt numFmtId="169" formatCode="#,##0.0"/>
    <numFmt numFmtId="170" formatCode="0.000000"/>
    <numFmt numFmtId="171" formatCode="0.00000"/>
    <numFmt numFmtId="172" formatCode="0.0000"/>
    <numFmt numFmtId="173" formatCode="[$-419]mmmm;@"/>
    <numFmt numFmtId="174" formatCode="_-* #,##0_-;\-* #,##0_-;_-* &quot;-&quot;??_-;_-@_-"/>
  </numFmts>
  <fonts count="5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6"/>
      <color rgb="FF00605E"/>
      <name val="Arial"/>
      <family val="2"/>
      <charset val="204"/>
    </font>
    <font>
      <sz val="9"/>
      <color theme="0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2"/>
      <color rgb="FF00605E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0"/>
      <name val="Arial"/>
      <family val="2"/>
      <charset val="204"/>
    </font>
    <font>
      <i/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i/>
      <sz val="10"/>
      <color theme="0" tint="-0.499984740745262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charset val="204"/>
      <scheme val="minor"/>
    </font>
    <font>
      <sz val="10"/>
      <name val="Arial Cyr"/>
      <charset val="204"/>
    </font>
    <font>
      <sz val="11"/>
      <color rgb="FFFF0000"/>
      <name val="Calibri"/>
      <family val="2"/>
      <charset val="204"/>
      <scheme val="minor"/>
    </font>
    <font>
      <sz val="8"/>
      <color rgb="FFBFBFBF"/>
      <name val="Calibri"/>
      <family val="2"/>
      <charset val="204"/>
    </font>
    <font>
      <b/>
      <sz val="26"/>
      <color rgb="FF000000"/>
      <name val="Calibri"/>
      <family val="2"/>
    </font>
    <font>
      <sz val="10"/>
      <color rgb="FF000000"/>
      <name val="Calibri"/>
      <family val="2"/>
      <charset val="204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rial Narrow"/>
      <family val="2"/>
      <charset val="204"/>
    </font>
    <font>
      <sz val="1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1"/>
      <color theme="1"/>
      <name val="Calibri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i/>
      <sz val="9"/>
      <color theme="1"/>
      <name val="Calibri"/>
      <family val="2"/>
      <scheme val="minor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0"/>
      <color rgb="FF000000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00A29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556A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2"/>
      </patternFill>
    </fill>
    <fill>
      <patternFill patternType="solid">
        <fgColor theme="0" tint="-4.9989318521683403E-2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2" tint="-9.9978637043366805E-2"/>
      </left>
      <right/>
      <top/>
      <bottom/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164" fontId="7" fillId="0" borderId="0" applyProtection="0">
      <alignment horizontal="left" vertical="center"/>
    </xf>
    <xf numFmtId="165" fontId="11" fillId="2" borderId="0"/>
    <xf numFmtId="165" fontId="11" fillId="5" borderId="0"/>
    <xf numFmtId="0" fontId="30" fillId="0" borderId="0"/>
    <xf numFmtId="0" fontId="1" fillId="0" borderId="0"/>
    <xf numFmtId="0" fontId="1" fillId="0" borderId="0"/>
    <xf numFmtId="0" fontId="41" fillId="0" borderId="0"/>
    <xf numFmtId="9" fontId="43" fillId="0" borderId="0" applyFont="0" applyFill="0" applyBorder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3" fillId="0" borderId="0"/>
  </cellStyleXfs>
  <cellXfs count="204">
    <xf numFmtId="0" fontId="0" fillId="0" borderId="0" xfId="0"/>
    <xf numFmtId="0" fontId="5" fillId="0" borderId="0" xfId="0" applyFont="1"/>
    <xf numFmtId="14" fontId="6" fillId="0" borderId="0" xfId="0" applyNumberFormat="1" applyFont="1"/>
    <xf numFmtId="2" fontId="6" fillId="0" borderId="0" xfId="0" applyNumberFormat="1" applyFont="1"/>
    <xf numFmtId="164" fontId="8" fillId="0" borderId="0" xfId="2" applyFont="1">
      <alignment horizontal="lef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Continuous"/>
    </xf>
    <xf numFmtId="0" fontId="4" fillId="0" borderId="0" xfId="0" applyFont="1"/>
    <xf numFmtId="165" fontId="11" fillId="2" borderId="0" xfId="3"/>
    <xf numFmtId="165" fontId="11" fillId="3" borderId="1" xfId="3" applyFill="1" applyBorder="1" applyAlignment="1">
      <alignment horizontal="center" vertical="center"/>
    </xf>
    <xf numFmtId="165" fontId="11" fillId="2" borderId="1" xfId="3" applyBorder="1" applyAlignment="1">
      <alignment horizontal="center" vertical="center"/>
    </xf>
    <xf numFmtId="165" fontId="11" fillId="4" borderId="1" xfId="3" applyFill="1" applyBorder="1" applyAlignment="1">
      <alignment horizontal="center" vertical="center"/>
    </xf>
    <xf numFmtId="14" fontId="12" fillId="0" borderId="0" xfId="0" applyNumberFormat="1" applyFont="1"/>
    <xf numFmtId="2" fontId="0" fillId="0" borderId="0" xfId="0" applyNumberFormat="1"/>
    <xf numFmtId="165" fontId="11" fillId="6" borderId="2" xfId="4" applyFill="1" applyBorder="1" applyAlignment="1">
      <alignment horizontal="center" wrapText="1"/>
    </xf>
    <xf numFmtId="165" fontId="11" fillId="6" borderId="2" xfId="4" applyFill="1" applyBorder="1" applyAlignment="1">
      <alignment horizontal="center"/>
    </xf>
    <xf numFmtId="165" fontId="11" fillId="6" borderId="2" xfId="4" applyFill="1" applyBorder="1" applyAlignment="1">
      <alignment horizontal="centerContinuous"/>
    </xf>
    <xf numFmtId="0" fontId="3" fillId="0" borderId="0" xfId="0" applyFont="1"/>
    <xf numFmtId="166" fontId="8" fillId="0" borderId="0" xfId="4" applyNumberFormat="1" applyFont="1" applyFill="1" applyAlignment="1">
      <alignment horizontal="right"/>
    </xf>
    <xf numFmtId="165" fontId="13" fillId="6" borderId="0" xfId="4" applyFont="1" applyFill="1"/>
    <xf numFmtId="165" fontId="14" fillId="6" borderId="0" xfId="4" applyFont="1" applyFill="1"/>
    <xf numFmtId="0" fontId="15" fillId="6" borderId="0" xfId="0" applyFont="1" applyFill="1" applyAlignment="1">
      <alignment horizontal="right"/>
    </xf>
    <xf numFmtId="2" fontId="16" fillId="6" borderId="0" xfId="4" applyNumberFormat="1" applyFont="1" applyFill="1" applyAlignment="1">
      <alignment horizontal="right"/>
    </xf>
    <xf numFmtId="2" fontId="16" fillId="7" borderId="0" xfId="4" applyNumberFormat="1" applyFont="1" applyFill="1" applyAlignment="1">
      <alignment horizontal="right"/>
    </xf>
    <xf numFmtId="0" fontId="9" fillId="0" borderId="0" xfId="0" applyFont="1"/>
    <xf numFmtId="165" fontId="11" fillId="0" borderId="0" xfId="4" applyFill="1"/>
    <xf numFmtId="165" fontId="11" fillId="0" borderId="0" xfId="4" applyFill="1" applyAlignment="1">
      <alignment horizontal="right"/>
    </xf>
    <xf numFmtId="0" fontId="0" fillId="8" borderId="0" xfId="0" applyFill="1"/>
    <xf numFmtId="165" fontId="2" fillId="9" borderId="0" xfId="4" applyFont="1" applyFill="1" applyAlignment="1">
      <alignment horizontal="left" indent="1"/>
    </xf>
    <xf numFmtId="0" fontId="0" fillId="9" borderId="0" xfId="0" applyFill="1"/>
    <xf numFmtId="0" fontId="0" fillId="9" borderId="0" xfId="0" applyFill="1" applyAlignment="1">
      <alignment horizontal="right"/>
    </xf>
    <xf numFmtId="1" fontId="2" fillId="9" borderId="0" xfId="4" applyNumberFormat="1" applyFont="1" applyFill="1" applyAlignment="1">
      <alignment horizontal="right"/>
    </xf>
    <xf numFmtId="0" fontId="17" fillId="0" borderId="0" xfId="0" applyFont="1" applyAlignment="1">
      <alignment horizontal="left" indent="2"/>
    </xf>
    <xf numFmtId="0" fontId="18" fillId="0" borderId="0" xfId="0" applyFont="1" applyAlignment="1">
      <alignment horizontal="right"/>
    </xf>
    <xf numFmtId="1" fontId="17" fillId="8" borderId="0" xfId="0" applyNumberFormat="1" applyFont="1" applyFill="1"/>
    <xf numFmtId="1" fontId="17" fillId="0" borderId="0" xfId="0" applyNumberFormat="1" applyFont="1"/>
    <xf numFmtId="4" fontId="17" fillId="8" borderId="0" xfId="0" applyNumberFormat="1" applyFont="1" applyFill="1"/>
    <xf numFmtId="9" fontId="17" fillId="0" borderId="0" xfId="1" applyFont="1" applyBorder="1" applyAlignment="1">
      <alignment horizontal="left" indent="2"/>
    </xf>
    <xf numFmtId="9" fontId="17" fillId="8" borderId="0" xfId="1" applyFont="1" applyFill="1"/>
    <xf numFmtId="9" fontId="17" fillId="0" borderId="0" xfId="1" applyFont="1"/>
    <xf numFmtId="10" fontId="17" fillId="8" borderId="0" xfId="1" applyNumberFormat="1" applyFont="1" applyFill="1"/>
    <xf numFmtId="10" fontId="17" fillId="0" borderId="0" xfId="1" applyNumberFormat="1" applyFont="1"/>
    <xf numFmtId="165" fontId="2" fillId="9" borderId="0" xfId="4" applyFont="1" applyFill="1" applyAlignment="1">
      <alignment horizontal="right"/>
    </xf>
    <xf numFmtId="3" fontId="2" fillId="9" borderId="0" xfId="4" applyNumberFormat="1" applyFont="1" applyFill="1" applyAlignment="1">
      <alignment horizontal="right"/>
    </xf>
    <xf numFmtId="3" fontId="17" fillId="8" borderId="0" xfId="0" applyNumberFormat="1" applyFont="1" applyFill="1"/>
    <xf numFmtId="9" fontId="2" fillId="9" borderId="0" xfId="4" applyNumberFormat="1" applyFont="1" applyFill="1" applyAlignment="1">
      <alignment horizontal="right"/>
    </xf>
    <xf numFmtId="0" fontId="17" fillId="0" borderId="0" xfId="0" applyFont="1"/>
    <xf numFmtId="0" fontId="19" fillId="0" borderId="0" xfId="0" applyFont="1" applyAlignment="1">
      <alignment horizontal="left" indent="2"/>
    </xf>
    <xf numFmtId="0" fontId="20" fillId="0" borderId="0" xfId="0" applyFont="1" applyAlignment="1">
      <alignment horizontal="right"/>
    </xf>
    <xf numFmtId="2" fontId="2" fillId="9" borderId="0" xfId="4" applyNumberFormat="1" applyFont="1" applyFill="1" applyAlignment="1">
      <alignment horizontal="right"/>
    </xf>
    <xf numFmtId="2" fontId="17" fillId="8" borderId="0" xfId="0" applyNumberFormat="1" applyFont="1" applyFill="1"/>
    <xf numFmtId="2" fontId="17" fillId="0" borderId="0" xfId="0" applyNumberFormat="1" applyFont="1"/>
    <xf numFmtId="9" fontId="17" fillId="0" borderId="0" xfId="1" applyFont="1" applyAlignment="1">
      <alignment horizontal="left" indent="2"/>
    </xf>
    <xf numFmtId="9" fontId="18" fillId="0" borderId="0" xfId="1" applyFont="1" applyAlignment="1">
      <alignment horizontal="right"/>
    </xf>
    <xf numFmtId="166" fontId="17" fillId="8" borderId="0" xfId="1" applyNumberFormat="1" applyFont="1" applyFill="1"/>
    <xf numFmtId="166" fontId="17" fillId="0" borderId="0" xfId="1" applyNumberFormat="1" applyFont="1"/>
    <xf numFmtId="4" fontId="2" fillId="9" borderId="0" xfId="4" applyNumberFormat="1" applyFont="1" applyFill="1" applyAlignment="1">
      <alignment horizontal="right"/>
    </xf>
    <xf numFmtId="167" fontId="17" fillId="8" borderId="0" xfId="0" applyNumberFormat="1" applyFont="1" applyFill="1"/>
    <xf numFmtId="167" fontId="17" fillId="0" borderId="0" xfId="0" applyNumberFormat="1" applyFont="1"/>
    <xf numFmtId="168" fontId="17" fillId="8" borderId="0" xfId="0" applyNumberFormat="1" applyFont="1" applyFill="1"/>
    <xf numFmtId="168" fontId="17" fillId="0" borderId="0" xfId="0" applyNumberFormat="1" applyFont="1"/>
    <xf numFmtId="0" fontId="21" fillId="0" borderId="0" xfId="0" applyFont="1" applyAlignment="1">
      <alignment horizontal="left" indent="2"/>
    </xf>
    <xf numFmtId="0" fontId="12" fillId="0" borderId="0" xfId="0" applyFont="1" applyAlignment="1">
      <alignment horizontal="right" vertical="center"/>
    </xf>
    <xf numFmtId="0" fontId="9" fillId="0" borderId="0" xfId="0" applyFont="1" applyAlignment="1">
      <alignment horizontal="right"/>
    </xf>
    <xf numFmtId="165" fontId="18" fillId="0" borderId="0" xfId="0" applyNumberFormat="1" applyFont="1" applyAlignment="1">
      <alignment horizontal="left"/>
    </xf>
    <xf numFmtId="0" fontId="18" fillId="9" borderId="0" xfId="0" applyFont="1" applyFill="1" applyAlignment="1">
      <alignment horizontal="left"/>
    </xf>
    <xf numFmtId="169" fontId="2" fillId="9" borderId="0" xfId="4" applyNumberFormat="1" applyFont="1" applyFill="1" applyAlignment="1">
      <alignment horizontal="right"/>
    </xf>
    <xf numFmtId="0" fontId="18" fillId="0" borderId="0" xfId="0" applyFont="1" applyAlignment="1">
      <alignment horizontal="left"/>
    </xf>
    <xf numFmtId="172" fontId="2" fillId="9" borderId="0" xfId="4" applyNumberFormat="1" applyFont="1" applyFill="1" applyAlignment="1">
      <alignment horizontal="right"/>
    </xf>
    <xf numFmtId="168" fontId="2" fillId="9" borderId="0" xfId="4" applyNumberFormat="1" applyFont="1" applyFill="1" applyAlignment="1">
      <alignment horizontal="right"/>
    </xf>
    <xf numFmtId="172" fontId="17" fillId="8" borderId="0" xfId="0" applyNumberFormat="1" applyFont="1" applyFill="1"/>
    <xf numFmtId="172" fontId="17" fillId="0" borderId="0" xfId="0" applyNumberFormat="1" applyFont="1"/>
    <xf numFmtId="4" fontId="0" fillId="0" borderId="0" xfId="0" applyNumberFormat="1"/>
    <xf numFmtId="171" fontId="0" fillId="0" borderId="0" xfId="0" applyNumberFormat="1"/>
    <xf numFmtId="0" fontId="18" fillId="9" borderId="0" xfId="0" applyFont="1" applyFill="1" applyAlignment="1">
      <alignment horizontal="right"/>
    </xf>
    <xf numFmtId="0" fontId="22" fillId="0" borderId="0" xfId="0" applyFont="1" applyAlignment="1">
      <alignment horizontal="left" indent="2"/>
    </xf>
    <xf numFmtId="0" fontId="23" fillId="0" borderId="0" xfId="0" applyFont="1" applyAlignment="1">
      <alignment horizontal="right"/>
    </xf>
    <xf numFmtId="3" fontId="24" fillId="8" borderId="0" xfId="0" applyNumberFormat="1" applyFont="1" applyFill="1"/>
    <xf numFmtId="3" fontId="24" fillId="0" borderId="0" xfId="0" applyNumberFormat="1" applyFont="1"/>
    <xf numFmtId="166" fontId="17" fillId="0" borderId="0" xfId="1" applyNumberFormat="1" applyFont="1" applyFill="1"/>
    <xf numFmtId="1" fontId="24" fillId="8" borderId="0" xfId="0" applyNumberFormat="1" applyFont="1" applyFill="1"/>
    <xf numFmtId="1" fontId="24" fillId="0" borderId="0" xfId="0" applyNumberFormat="1" applyFont="1"/>
    <xf numFmtId="1" fontId="25" fillId="0" borderId="0" xfId="0" applyNumberFormat="1" applyFont="1"/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 indent="1"/>
    </xf>
    <xf numFmtId="0" fontId="19" fillId="0" borderId="0" xfId="0" applyFont="1"/>
    <xf numFmtId="0" fontId="17" fillId="8" borderId="0" xfId="0" applyFont="1" applyFill="1"/>
    <xf numFmtId="3" fontId="17" fillId="8" borderId="0" xfId="1" applyNumberFormat="1" applyFont="1" applyFill="1"/>
    <xf numFmtId="0" fontId="26" fillId="0" borderId="0" xfId="0" applyFont="1" applyAlignment="1">
      <alignment horizontal="right"/>
    </xf>
    <xf numFmtId="3" fontId="28" fillId="9" borderId="0" xfId="4" applyNumberFormat="1" applyFont="1" applyFill="1" applyAlignment="1">
      <alignment horizontal="right"/>
    </xf>
    <xf numFmtId="1" fontId="0" fillId="0" borderId="0" xfId="0" applyNumberFormat="1"/>
    <xf numFmtId="10" fontId="29" fillId="9" borderId="0" xfId="1" applyNumberFormat="1" applyFont="1" applyFill="1" applyAlignment="1">
      <alignment horizontal="right"/>
    </xf>
    <xf numFmtId="166" fontId="29" fillId="9" borderId="0" xfId="1" applyNumberFormat="1" applyFont="1" applyFill="1" applyAlignment="1">
      <alignment horizontal="right"/>
    </xf>
    <xf numFmtId="2" fontId="17" fillId="8" borderId="0" xfId="1" applyNumberFormat="1" applyFont="1" applyFill="1"/>
    <xf numFmtId="168" fontId="17" fillId="8" borderId="0" xfId="1" applyNumberFormat="1" applyFont="1" applyFill="1"/>
    <xf numFmtId="168" fontId="17" fillId="0" borderId="0" xfId="1" applyNumberFormat="1" applyFont="1"/>
    <xf numFmtId="2" fontId="17" fillId="0" borderId="0" xfId="1" applyNumberFormat="1" applyFont="1"/>
    <xf numFmtId="2" fontId="17" fillId="0" borderId="0" xfId="1" applyNumberFormat="1" applyFont="1" applyFill="1"/>
    <xf numFmtId="170" fontId="2" fillId="9" borderId="0" xfId="4" applyNumberFormat="1" applyFont="1" applyFill="1" applyAlignment="1">
      <alignment horizontal="right"/>
    </xf>
    <xf numFmtId="2" fontId="0" fillId="0" borderId="0" xfId="1" applyNumberFormat="1" applyFont="1"/>
    <xf numFmtId="4" fontId="17" fillId="0" borderId="0" xfId="0" applyNumberFormat="1" applyFont="1"/>
    <xf numFmtId="4" fontId="0" fillId="9" borderId="0" xfId="0" applyNumberFormat="1" applyFill="1" applyAlignment="1">
      <alignment horizontal="right"/>
    </xf>
    <xf numFmtId="173" fontId="21" fillId="0" borderId="0" xfId="0" applyNumberFormat="1" applyFont="1"/>
    <xf numFmtId="165" fontId="11" fillId="10" borderId="3" xfId="3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1" fontId="19" fillId="0" borderId="0" xfId="0" applyNumberFormat="1" applyFont="1"/>
    <xf numFmtId="3" fontId="19" fillId="8" borderId="0" xfId="0" applyNumberFormat="1" applyFont="1" applyFill="1"/>
    <xf numFmtId="0" fontId="0" fillId="0" borderId="0" xfId="0" quotePrefix="1"/>
    <xf numFmtId="3" fontId="32" fillId="11" borderId="0" xfId="6" applyNumberFormat="1" applyFont="1" applyFill="1" applyAlignment="1">
      <alignment horizontal="center" vertical="center"/>
    </xf>
    <xf numFmtId="3" fontId="33" fillId="11" borderId="0" xfId="6" applyNumberFormat="1" applyFont="1" applyFill="1" applyAlignment="1">
      <alignment horizontal="left"/>
    </xf>
    <xf numFmtId="3" fontId="34" fillId="11" borderId="0" xfId="6" applyNumberFormat="1" applyFont="1" applyFill="1" applyAlignment="1">
      <alignment horizontal="left" indent="1"/>
    </xf>
    <xf numFmtId="14" fontId="35" fillId="11" borderId="0" xfId="6" applyNumberFormat="1" applyFont="1" applyFill="1" applyAlignment="1">
      <alignment horizontal="center" vertical="top"/>
    </xf>
    <xf numFmtId="14" fontId="36" fillId="11" borderId="0" xfId="6" applyNumberFormat="1" applyFont="1" applyFill="1" applyAlignment="1">
      <alignment horizontal="center" vertical="top"/>
    </xf>
    <xf numFmtId="3" fontId="33" fillId="12" borderId="0" xfId="6" applyNumberFormat="1" applyFont="1" applyFill="1" applyAlignment="1">
      <alignment horizontal="left"/>
    </xf>
    <xf numFmtId="3" fontId="34" fillId="12" borderId="0" xfId="6" applyNumberFormat="1" applyFont="1" applyFill="1" applyAlignment="1">
      <alignment horizontal="left" indent="1"/>
    </xf>
    <xf numFmtId="14" fontId="35" fillId="12" borderId="0" xfId="6" applyNumberFormat="1" applyFont="1" applyFill="1" applyAlignment="1">
      <alignment horizontal="center" vertical="top"/>
    </xf>
    <xf numFmtId="14" fontId="36" fillId="12" borderId="0" xfId="6" applyNumberFormat="1" applyFont="1" applyFill="1" applyAlignment="1">
      <alignment horizontal="center" vertical="top"/>
    </xf>
    <xf numFmtId="0" fontId="1" fillId="0" borderId="0" xfId="6"/>
    <xf numFmtId="14" fontId="37" fillId="11" borderId="0" xfId="6" applyNumberFormat="1" applyFont="1" applyFill="1" applyAlignment="1">
      <alignment horizontal="center" vertical="top"/>
    </xf>
    <xf numFmtId="14" fontId="37" fillId="12" borderId="0" xfId="6" applyNumberFormat="1" applyFont="1" applyFill="1" applyAlignment="1">
      <alignment horizontal="center" vertical="top"/>
    </xf>
    <xf numFmtId="3" fontId="38" fillId="12" borderId="0" xfId="6" applyNumberFormat="1" applyFont="1" applyFill="1" applyAlignment="1">
      <alignment horizontal="left" indent="1"/>
    </xf>
    <xf numFmtId="0" fontId="36" fillId="11" borderId="0" xfId="6" applyFont="1" applyFill="1" applyAlignment="1">
      <alignment horizontal="center" vertical="top"/>
    </xf>
    <xf numFmtId="0" fontId="36" fillId="12" borderId="0" xfId="6" applyFont="1" applyFill="1" applyAlignment="1">
      <alignment horizontal="center" vertical="top"/>
    </xf>
    <xf numFmtId="0" fontId="35" fillId="11" borderId="0" xfId="6" applyFont="1" applyFill="1" applyAlignment="1">
      <alignment horizontal="center" vertical="top"/>
    </xf>
    <xf numFmtId="0" fontId="35" fillId="12" borderId="0" xfId="6" applyFont="1" applyFill="1" applyAlignment="1">
      <alignment horizontal="center" vertical="top"/>
    </xf>
    <xf numFmtId="0" fontId="39" fillId="13" borderId="0" xfId="6" applyFont="1" applyFill="1" applyAlignment="1">
      <alignment horizontal="left"/>
    </xf>
    <xf numFmtId="0" fontId="13" fillId="13" borderId="0" xfId="6" applyFont="1" applyFill="1" applyAlignment="1">
      <alignment horizontal="left" wrapText="1"/>
    </xf>
    <xf numFmtId="0" fontId="40" fillId="13" borderId="0" xfId="6" applyFont="1" applyFill="1"/>
    <xf numFmtId="3" fontId="13" fillId="13" borderId="0" xfId="6" applyNumberFormat="1" applyFont="1" applyFill="1" applyAlignment="1">
      <alignment horizontal="right"/>
    </xf>
    <xf numFmtId="0" fontId="39" fillId="14" borderId="0" xfId="7" applyFont="1" applyFill="1" applyAlignment="1">
      <alignment horizontal="left" vertical="center"/>
    </xf>
    <xf numFmtId="0" fontId="1" fillId="13" borderId="0" xfId="6" applyFill="1"/>
    <xf numFmtId="3" fontId="1" fillId="13" borderId="0" xfId="6" applyNumberFormat="1" applyFill="1"/>
    <xf numFmtId="0" fontId="39" fillId="15" borderId="0" xfId="7" applyFont="1" applyFill="1" applyAlignment="1">
      <alignment horizontal="left" vertical="center"/>
    </xf>
    <xf numFmtId="0" fontId="1" fillId="16" borderId="0" xfId="6" applyFill="1"/>
    <xf numFmtId="0" fontId="3" fillId="16" borderId="0" xfId="6" applyFont="1" applyFill="1"/>
    <xf numFmtId="3" fontId="3" fillId="16" borderId="0" xfId="6" applyNumberFormat="1" applyFont="1" applyFill="1"/>
    <xf numFmtId="0" fontId="1" fillId="0" borderId="0" xfId="7"/>
    <xf numFmtId="0" fontId="1" fillId="17" borderId="0" xfId="6" applyFill="1"/>
    <xf numFmtId="3" fontId="1" fillId="0" borderId="0" xfId="6" applyNumberFormat="1"/>
    <xf numFmtId="3" fontId="1" fillId="18" borderId="0" xfId="6" applyNumberFormat="1" applyFill="1"/>
    <xf numFmtId="3" fontId="41" fillId="12" borderId="0" xfId="8" applyNumberFormat="1" applyFill="1"/>
    <xf numFmtId="3" fontId="41" fillId="0" borderId="0" xfId="8" applyNumberFormat="1"/>
    <xf numFmtId="3" fontId="41" fillId="19" borderId="0" xfId="8" applyNumberFormat="1" applyFill="1"/>
    <xf numFmtId="0" fontId="42" fillId="0" borderId="0" xfId="7" applyFont="1"/>
    <xf numFmtId="0" fontId="42" fillId="17" borderId="0" xfId="6" applyFont="1" applyFill="1"/>
    <xf numFmtId="0" fontId="42" fillId="0" borderId="0" xfId="6" applyFont="1"/>
    <xf numFmtId="0" fontId="42" fillId="18" borderId="0" xfId="6" applyFont="1" applyFill="1"/>
    <xf numFmtId="3" fontId="42" fillId="12" borderId="0" xfId="6" applyNumberFormat="1" applyFont="1" applyFill="1"/>
    <xf numFmtId="3" fontId="42" fillId="0" borderId="0" xfId="6" applyNumberFormat="1" applyFont="1"/>
    <xf numFmtId="0" fontId="31" fillId="0" borderId="0" xfId="7" applyFont="1"/>
    <xf numFmtId="3" fontId="42" fillId="18" borderId="0" xfId="6" applyNumberFormat="1" applyFont="1" applyFill="1"/>
    <xf numFmtId="0" fontId="1" fillId="0" borderId="0" xfId="7" applyAlignment="1">
      <alignment horizontal="right"/>
    </xf>
    <xf numFmtId="3" fontId="42" fillId="19" borderId="0" xfId="6" applyNumberFormat="1" applyFont="1" applyFill="1"/>
    <xf numFmtId="3" fontId="1" fillId="0" borderId="0" xfId="7" applyNumberFormat="1" applyAlignment="1">
      <alignment horizontal="right"/>
    </xf>
    <xf numFmtId="1" fontId="1" fillId="0" borderId="0" xfId="6" applyNumberFormat="1"/>
    <xf numFmtId="3" fontId="1" fillId="19" borderId="0" xfId="7" applyNumberFormat="1" applyFill="1" applyAlignment="1">
      <alignment horizontal="right"/>
    </xf>
    <xf numFmtId="3" fontId="1" fillId="12" borderId="0" xfId="6" applyNumberFormat="1" applyFill="1"/>
    <xf numFmtId="0" fontId="1" fillId="12" borderId="0" xfId="6" applyFill="1"/>
    <xf numFmtId="0" fontId="1" fillId="19" borderId="0" xfId="6" applyFill="1"/>
    <xf numFmtId="3" fontId="1" fillId="19" borderId="0" xfId="6" applyNumberFormat="1" applyFill="1"/>
    <xf numFmtId="1" fontId="17" fillId="20" borderId="0" xfId="8" applyNumberFormat="1" applyFont="1" applyFill="1"/>
    <xf numFmtId="3" fontId="42" fillId="20" borderId="0" xfId="6" applyNumberFormat="1" applyFont="1" applyFill="1"/>
    <xf numFmtId="3" fontId="1" fillId="12" borderId="0" xfId="7" applyNumberFormat="1" applyFill="1" applyAlignment="1">
      <alignment horizontal="right"/>
    </xf>
    <xf numFmtId="3" fontId="42" fillId="17" borderId="0" xfId="7" applyNumberFormat="1" applyFont="1" applyFill="1" applyAlignment="1">
      <alignment horizontal="right"/>
    </xf>
    <xf numFmtId="3" fontId="42" fillId="20" borderId="0" xfId="7" applyNumberFormat="1" applyFont="1" applyFill="1" applyAlignment="1">
      <alignment horizontal="right"/>
    </xf>
    <xf numFmtId="3" fontId="1" fillId="17" borderId="0" xfId="6" applyNumberFormat="1" applyFill="1"/>
    <xf numFmtId="3" fontId="1" fillId="17" borderId="0" xfId="7" applyNumberFormat="1" applyFill="1" applyAlignment="1">
      <alignment horizontal="right"/>
    </xf>
    <xf numFmtId="9" fontId="1" fillId="0" borderId="0" xfId="9" applyFont="1"/>
    <xf numFmtId="9" fontId="1" fillId="0" borderId="0" xfId="10" applyFill="1" applyAlignment="1">
      <alignment horizontal="right"/>
    </xf>
    <xf numFmtId="9" fontId="1" fillId="21" borderId="0" xfId="6" applyNumberFormat="1" applyFill="1"/>
    <xf numFmtId="3" fontId="42" fillId="12" borderId="0" xfId="7" applyNumberFormat="1" applyFont="1" applyFill="1" applyAlignment="1">
      <alignment horizontal="right"/>
    </xf>
    <xf numFmtId="3" fontId="42" fillId="0" borderId="0" xfId="7" applyNumberFormat="1" applyFont="1" applyAlignment="1">
      <alignment horizontal="right"/>
    </xf>
    <xf numFmtId="9" fontId="21" fillId="0" borderId="0" xfId="10" applyFont="1" applyFill="1" applyAlignment="1">
      <alignment horizontal="right"/>
    </xf>
    <xf numFmtId="167" fontId="1" fillId="0" borderId="0" xfId="6" applyNumberFormat="1"/>
    <xf numFmtId="167" fontId="42" fillId="0" borderId="0" xfId="6" applyNumberFormat="1" applyFont="1"/>
    <xf numFmtId="174" fontId="0" fillId="0" borderId="0" xfId="11" applyNumberFormat="1" applyFont="1" applyFill="1"/>
    <xf numFmtId="167" fontId="42" fillId="12" borderId="0" xfId="6" applyNumberFormat="1" applyFont="1" applyFill="1"/>
    <xf numFmtId="0" fontId="1" fillId="0" borderId="0" xfId="7" applyAlignment="1">
      <alignment horizontal="left" wrapText="1"/>
    </xf>
    <xf numFmtId="0" fontId="1" fillId="0" borderId="0" xfId="7" applyAlignment="1">
      <alignment horizontal="left"/>
    </xf>
    <xf numFmtId="0" fontId="1" fillId="18" borderId="0" xfId="6" applyFill="1"/>
    <xf numFmtId="0" fontId="1" fillId="17" borderId="0" xfId="7" applyFill="1"/>
    <xf numFmtId="174" fontId="42" fillId="0" borderId="0" xfId="11" applyNumberFormat="1" applyFont="1" applyFill="1"/>
    <xf numFmtId="0" fontId="43" fillId="0" borderId="0" xfId="12"/>
    <xf numFmtId="167" fontId="1" fillId="0" borderId="0" xfId="6" applyNumberFormat="1" applyAlignment="1">
      <alignment horizontal="right"/>
    </xf>
    <xf numFmtId="0" fontId="39" fillId="13" borderId="0" xfId="7" applyFont="1" applyFill="1" applyAlignment="1">
      <alignment horizontal="left" vertical="center"/>
    </xf>
    <xf numFmtId="3" fontId="39" fillId="13" borderId="0" xfId="7" applyNumberFormat="1" applyFont="1" applyFill="1" applyAlignment="1">
      <alignment horizontal="right" vertical="center"/>
    </xf>
    <xf numFmtId="169" fontId="1" fillId="12" borderId="0" xfId="7" applyNumberFormat="1" applyFill="1" applyAlignment="1">
      <alignment horizontal="right"/>
    </xf>
    <xf numFmtId="169" fontId="1" fillId="0" borderId="0" xfId="7" applyNumberFormat="1" applyAlignment="1">
      <alignment horizontal="right"/>
    </xf>
    <xf numFmtId="169" fontId="44" fillId="17" borderId="0" xfId="7" applyNumberFormat="1" applyFont="1" applyFill="1" applyAlignment="1">
      <alignment horizontal="right"/>
    </xf>
    <xf numFmtId="169" fontId="1" fillId="0" borderId="0" xfId="6" applyNumberFormat="1"/>
    <xf numFmtId="169" fontId="42" fillId="0" borderId="0" xfId="6" applyNumberFormat="1" applyFont="1"/>
    <xf numFmtId="169" fontId="42" fillId="12" borderId="0" xfId="7" applyNumberFormat="1" applyFont="1" applyFill="1" applyAlignment="1">
      <alignment horizontal="right"/>
    </xf>
    <xf numFmtId="169" fontId="42" fillId="0" borderId="0" xfId="7" applyNumberFormat="1" applyFont="1" applyAlignment="1">
      <alignment horizontal="right"/>
    </xf>
    <xf numFmtId="169" fontId="42" fillId="22" borderId="0" xfId="7" applyNumberFormat="1" applyFont="1" applyFill="1" applyAlignment="1">
      <alignment horizontal="right"/>
    </xf>
    <xf numFmtId="167" fontId="1" fillId="12" borderId="0" xfId="6" applyNumberFormat="1" applyFill="1"/>
    <xf numFmtId="169" fontId="42" fillId="23" borderId="0" xfId="7" applyNumberFormat="1" applyFont="1" applyFill="1" applyAlignment="1">
      <alignment horizontal="right"/>
    </xf>
    <xf numFmtId="0" fontId="1" fillId="24" borderId="0" xfId="6" applyFill="1"/>
    <xf numFmtId="1" fontId="1" fillId="24" borderId="0" xfId="6" applyNumberFormat="1" applyFill="1"/>
    <xf numFmtId="169" fontId="1" fillId="21" borderId="0" xfId="6" applyNumberFormat="1" applyFill="1"/>
    <xf numFmtId="169" fontId="1" fillId="23" borderId="0" xfId="7" applyNumberFormat="1" applyFill="1" applyAlignment="1">
      <alignment horizontal="right"/>
    </xf>
    <xf numFmtId="169" fontId="44" fillId="0" borderId="0" xfId="7" applyNumberFormat="1" applyFont="1" applyAlignment="1">
      <alignment horizontal="right"/>
    </xf>
    <xf numFmtId="0" fontId="45" fillId="0" borderId="0" xfId="7" applyFont="1"/>
    <xf numFmtId="0" fontId="1" fillId="25" borderId="0" xfId="7" applyFill="1"/>
    <xf numFmtId="1" fontId="1" fillId="12" borderId="0" xfId="6" applyNumberFormat="1" applyFill="1"/>
  </cellXfs>
  <cellStyles count="13">
    <cellStyle name="Level 0" xfId="3" xr:uid="{E3B3DAAF-CDA6-4EE3-821F-0BB7825F8C0F}"/>
    <cellStyle name="Level 1" xfId="4" xr:uid="{4EE21EAA-56B8-472B-8654-DE1C26F48011}"/>
    <cellStyle name="Text" xfId="2" xr:uid="{8459673F-FE02-4E53-9A08-CB7B9FFDAAFB}"/>
    <cellStyle name="Обычный" xfId="0" builtinId="0"/>
    <cellStyle name="Обычный 2" xfId="5" xr:uid="{E278E057-CE2D-4ADB-BD8E-6A67E3A4E84B}"/>
    <cellStyle name="Обычный 2 2" xfId="12" xr:uid="{30FD99A9-D1B3-4E01-B8F4-9AA8E87177F2}"/>
    <cellStyle name="Обычный 3" xfId="8" xr:uid="{EF1FDA9C-1EC3-4FC6-A913-9EE131397ECC}"/>
    <cellStyle name="Обычный 3 2 2 2 2 2" xfId="7" xr:uid="{381FDA56-D832-48CB-BD69-725612D9E6C7}"/>
    <cellStyle name="Обычный 55" xfId="6" xr:uid="{A316C6CB-E675-4F16-8F8D-BA61E0E574EF}"/>
    <cellStyle name="Процентный" xfId="1" builtinId="5"/>
    <cellStyle name="Процентный 2" xfId="9" xr:uid="{3B651EA3-CA22-4CB1-8168-9436CF81D3F8}"/>
    <cellStyle name="Процентный 30" xfId="10" xr:uid="{8F03429C-166D-4491-AF78-ED37779C5D6E}"/>
    <cellStyle name="Финансовый 37" xfId="11" xr:uid="{74B5511A-03E3-4607-B4FD-3073FAA54FD4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</dxf>
    <dxf>
      <font>
        <color rgb="FFBFBFB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47;&#1054;_&#1087;&#1083;&#1072;&#1085;&#1080;&#1088;&#1086;&#1074;&#1072;&#1085;&#1080;&#1077;%20&#1095;&#1080;&#1089;&#1083;&#1077;&#1085;&#1085;&#1086;&#1089;&#1090;&#1080;%20&#1055;&#1043;&#1050;%202026_18.06_&#1074;&#1077;&#1088;&#1089;&#1080;&#1103;%202%20(&#1076;&#1083;&#1103;%20&#1074;&#1085;&#1091;&#1090;&#1088;%20&#1087;&#1086;&#1083;&#1100;&#1079;&#1086;&#1074;&#1072;&#1085;&#1080;&#1103;)_&#1050;&#1086;&#1084;&#1084;&#1077;&#1088;&#1094;&#1080;&#1103;_&#1073;&#1077;&#1079;%20&#1089;&#1074;&#1103;&#1079;&#1077;&#1081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аблон по ДЗО"/>
      <sheetName val="Численность директ_2905"/>
      <sheetName val="Лист1"/>
      <sheetName val="Комментарии по заполнению"/>
      <sheetName val="примеры ролей и драйверов"/>
      <sheetName val="Пример заполнения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F9B8-CDEF-4585-A92E-F43D5F0ABB25}">
  <dimension ref="A1:AE184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9" sqref="D9"/>
    </sheetView>
  </sheetViews>
  <sheetFormatPr defaultColWidth="8.85546875" defaultRowHeight="15" outlineLevelRow="1" outlineLevelCol="1" x14ac:dyDescent="0.25"/>
  <cols>
    <col min="1" max="1" width="36.7109375" customWidth="1"/>
    <col min="2" max="2" width="9.140625" hidden="1" customWidth="1" outlineLevel="1"/>
    <col min="3" max="3" width="9.7109375" customWidth="1" collapsed="1"/>
    <col min="4" max="4" width="10.42578125" customWidth="1"/>
    <col min="5" max="5" width="11" customWidth="1"/>
    <col min="6" max="6" width="10.7109375" customWidth="1"/>
    <col min="7" max="8" width="11.7109375" customWidth="1"/>
    <col min="9" max="10" width="11.140625" customWidth="1"/>
    <col min="11" max="12" width="10.85546875" customWidth="1"/>
    <col min="13" max="13" width="11.28515625" customWidth="1"/>
    <col min="14" max="14" width="10.42578125" customWidth="1"/>
    <col min="15" max="15" width="9.7109375" customWidth="1"/>
    <col min="16" max="16" width="13.140625" customWidth="1"/>
    <col min="17" max="17" width="15.140625" bestFit="1" customWidth="1"/>
    <col min="18" max="19" width="10.140625" bestFit="1" customWidth="1"/>
    <col min="20" max="20" width="12.28515625" bestFit="1" customWidth="1"/>
    <col min="21" max="21" width="10.7109375" bestFit="1" customWidth="1"/>
    <col min="22" max="22" width="10.140625" bestFit="1" customWidth="1"/>
    <col min="23" max="28" width="11.7109375" bestFit="1" customWidth="1"/>
    <col min="29" max="29" width="12.7109375" bestFit="1" customWidth="1"/>
  </cols>
  <sheetData>
    <row r="1" spans="1:16" ht="20.25" x14ac:dyDescent="0.3">
      <c r="A1" s="1" t="s">
        <v>0</v>
      </c>
      <c r="B1" s="2" t="s">
        <v>1</v>
      </c>
      <c r="C1" s="3">
        <v>6</v>
      </c>
    </row>
    <row r="2" spans="1:16" ht="15.75" x14ac:dyDescent="0.25">
      <c r="A2" s="4" t="s">
        <v>2</v>
      </c>
      <c r="B2" s="5">
        <v>2026</v>
      </c>
      <c r="C2" s="6"/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</row>
    <row r="3" spans="1:16" x14ac:dyDescent="0.25">
      <c r="A3" s="8" t="s">
        <v>16</v>
      </c>
      <c r="B3" s="8"/>
      <c r="C3" s="8" t="s">
        <v>17</v>
      </c>
      <c r="D3" s="9" t="s">
        <v>18</v>
      </c>
      <c r="E3" s="9" t="s">
        <v>18</v>
      </c>
      <c r="F3" s="9" t="s">
        <v>18</v>
      </c>
      <c r="G3" s="9" t="s">
        <v>18</v>
      </c>
      <c r="H3" s="9" t="s">
        <v>18</v>
      </c>
      <c r="I3" s="10" t="s">
        <v>19</v>
      </c>
      <c r="J3" s="10" t="s">
        <v>19</v>
      </c>
      <c r="K3" s="10" t="s">
        <v>19</v>
      </c>
      <c r="L3" s="10" t="s">
        <v>19</v>
      </c>
      <c r="M3" s="10" t="s">
        <v>19</v>
      </c>
      <c r="N3" s="10" t="s">
        <v>19</v>
      </c>
      <c r="O3" s="10" t="s">
        <v>19</v>
      </c>
      <c r="P3" s="11" t="s">
        <v>20</v>
      </c>
    </row>
    <row r="4" spans="1:16" x14ac:dyDescent="0.25">
      <c r="B4" s="13"/>
      <c r="D4" s="102">
        <v>46053</v>
      </c>
      <c r="E4" s="102">
        <v>46081</v>
      </c>
      <c r="F4" s="102">
        <v>46112</v>
      </c>
      <c r="G4" s="102">
        <v>46142</v>
      </c>
      <c r="H4" s="102">
        <v>46173</v>
      </c>
      <c r="I4" s="102">
        <v>46203</v>
      </c>
      <c r="J4" s="102">
        <v>46234</v>
      </c>
      <c r="K4" s="102">
        <v>46265</v>
      </c>
      <c r="L4" s="102">
        <v>46295</v>
      </c>
      <c r="M4" s="102">
        <v>46326</v>
      </c>
      <c r="N4" s="102">
        <v>46356</v>
      </c>
      <c r="O4" s="102">
        <v>46387</v>
      </c>
      <c r="P4" s="12"/>
    </row>
    <row r="5" spans="1:16" x14ac:dyDescent="0.25">
      <c r="B5" s="13"/>
      <c r="D5" s="14"/>
      <c r="E5" s="15"/>
      <c r="F5" s="15"/>
      <c r="G5" s="15"/>
      <c r="H5" s="15"/>
      <c r="I5" s="16"/>
      <c r="J5" s="16"/>
      <c r="K5" s="16"/>
      <c r="L5" s="16"/>
      <c r="M5" s="16"/>
      <c r="N5" s="16"/>
      <c r="O5" s="16"/>
      <c r="P5" s="16"/>
    </row>
    <row r="6" spans="1:16" x14ac:dyDescent="0.25">
      <c r="A6" s="17" t="s">
        <v>21</v>
      </c>
      <c r="B6" s="13"/>
      <c r="D6" s="18">
        <v>0.38286445012787729</v>
      </c>
      <c r="E6" s="18">
        <v>0.37076023391812862</v>
      </c>
      <c r="F6" s="18">
        <v>0.375</v>
      </c>
      <c r="G6" s="18">
        <v>0.43515589697243562</v>
      </c>
      <c r="H6" s="18">
        <v>0.34297606659729452</v>
      </c>
      <c r="I6" s="18">
        <v>0.38094999999999996</v>
      </c>
      <c r="J6" s="18">
        <v>0.39094863709252659</v>
      </c>
      <c r="K6" s="18">
        <v>0.39146478428047116</v>
      </c>
      <c r="L6" s="18">
        <v>0.39080873619176615</v>
      </c>
      <c r="M6" s="18">
        <v>0.39039733294804357</v>
      </c>
      <c r="N6" s="18">
        <v>0.38742562713579737</v>
      </c>
      <c r="O6" s="18">
        <v>0.39263993706328149</v>
      </c>
      <c r="P6" s="18">
        <v>0.38649240271259294</v>
      </c>
    </row>
    <row r="7" spans="1:16" ht="15.75" x14ac:dyDescent="0.25">
      <c r="A7" s="19" t="s">
        <v>22</v>
      </c>
      <c r="B7" s="20"/>
      <c r="C7" s="21"/>
      <c r="D7" s="22">
        <v>65.364797509672144</v>
      </c>
      <c r="E7" s="22">
        <v>58.55302821032781</v>
      </c>
      <c r="F7" s="22">
        <v>77.79296449180336</v>
      </c>
      <c r="G7" s="22">
        <v>91.876337487182639</v>
      </c>
      <c r="H7" s="22">
        <v>142.57012217213116</v>
      </c>
      <c r="I7" s="22">
        <v>152.59287855715334</v>
      </c>
      <c r="J7" s="22">
        <v>161.18560463699444</v>
      </c>
      <c r="K7" s="22">
        <v>163.8272531342781</v>
      </c>
      <c r="L7" s="22">
        <v>142.86908343427024</v>
      </c>
      <c r="M7" s="22">
        <v>136.9700758391279</v>
      </c>
      <c r="N7" s="22">
        <v>123.0436438212021</v>
      </c>
      <c r="O7" s="22">
        <v>137.7148386387783</v>
      </c>
      <c r="P7" s="23">
        <v>1454.3606279329215</v>
      </c>
    </row>
    <row r="8" spans="1:16" ht="15.75" x14ac:dyDescent="0.25">
      <c r="A8" s="24" t="s">
        <v>23</v>
      </c>
      <c r="B8" s="25"/>
      <c r="C8" s="26"/>
      <c r="D8" s="27"/>
      <c r="E8" s="27"/>
      <c r="F8" s="27"/>
      <c r="G8" s="27"/>
      <c r="H8" s="27"/>
      <c r="P8" s="27"/>
    </row>
    <row r="9" spans="1:16" x14ac:dyDescent="0.25">
      <c r="A9" s="28" t="s">
        <v>24</v>
      </c>
      <c r="B9" s="29"/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</row>
    <row r="10" spans="1:16" x14ac:dyDescent="0.25">
      <c r="A10" s="32" t="s">
        <v>25</v>
      </c>
      <c r="B10" s="33" t="s">
        <v>24</v>
      </c>
      <c r="C10" s="33" t="s">
        <v>26</v>
      </c>
      <c r="D10" s="34">
        <v>5892</v>
      </c>
      <c r="E10" s="34">
        <v>9288</v>
      </c>
      <c r="F10" s="34">
        <v>15552</v>
      </c>
      <c r="G10" s="34">
        <v>11084</v>
      </c>
      <c r="H10" s="34">
        <v>14550</v>
      </c>
      <c r="I10" s="35">
        <v>15611.546</v>
      </c>
      <c r="J10" s="35">
        <v>17790.784500000002</v>
      </c>
      <c r="K10" s="35">
        <v>23091.537250000001</v>
      </c>
      <c r="L10" s="35">
        <v>21513.660250000001</v>
      </c>
      <c r="M10" s="35">
        <v>24765.639749999998</v>
      </c>
      <c r="N10" s="35">
        <v>26695.639000000003</v>
      </c>
      <c r="O10" s="35">
        <v>28352.057999999997</v>
      </c>
      <c r="P10" s="36">
        <v>214186.86474999998</v>
      </c>
    </row>
    <row r="11" spans="1:16" x14ac:dyDescent="0.25">
      <c r="A11" s="37" t="s">
        <v>27</v>
      </c>
      <c r="B11" s="33" t="s">
        <v>24</v>
      </c>
      <c r="C11" s="33" t="s">
        <v>28</v>
      </c>
      <c r="D11" s="38">
        <v>0.6</v>
      </c>
      <c r="E11" s="38">
        <v>0.41134751773049649</v>
      </c>
      <c r="F11" s="38">
        <v>0.26873385012919898</v>
      </c>
      <c r="G11" s="38">
        <v>0.5357142857142857</v>
      </c>
      <c r="H11" s="38">
        <v>0.45333333333333325</v>
      </c>
      <c r="I11" s="39">
        <v>0.41926048972560598</v>
      </c>
      <c r="J11" s="39">
        <v>0.43629691152946959</v>
      </c>
      <c r="K11" s="39">
        <v>0.43629691152946959</v>
      </c>
      <c r="L11" s="39">
        <v>0.43629691152946959</v>
      </c>
      <c r="M11" s="39">
        <v>0.43629691152946959</v>
      </c>
      <c r="N11" s="39">
        <v>0.43629691152946959</v>
      </c>
      <c r="O11" s="39">
        <v>0.43629691152946959</v>
      </c>
      <c r="P11" s="38">
        <v>0.4421809121508114</v>
      </c>
    </row>
    <row r="12" spans="1:16" x14ac:dyDescent="0.25">
      <c r="A12" s="32" t="s">
        <v>29</v>
      </c>
      <c r="B12" s="33" t="s">
        <v>24</v>
      </c>
      <c r="C12" s="33" t="s">
        <v>26</v>
      </c>
      <c r="D12" s="34">
        <v>48</v>
      </c>
      <c r="E12" s="34">
        <v>58</v>
      </c>
      <c r="F12" s="34">
        <v>104</v>
      </c>
      <c r="G12" s="34">
        <v>165</v>
      </c>
      <c r="H12" s="34">
        <v>136</v>
      </c>
      <c r="I12" s="35">
        <v>125.7781469176818</v>
      </c>
      <c r="J12" s="35">
        <v>249.16226502626711</v>
      </c>
      <c r="K12" s="35">
        <v>320.37757103163796</v>
      </c>
      <c r="L12" s="35">
        <v>332.27656070603382</v>
      </c>
      <c r="M12" s="35">
        <v>393.30826571314338</v>
      </c>
      <c r="N12" s="35">
        <v>437.93565424741286</v>
      </c>
      <c r="O12" s="35">
        <v>478.71572369299992</v>
      </c>
      <c r="P12" s="36">
        <v>2848.5541873351763</v>
      </c>
    </row>
    <row r="13" spans="1:16" x14ac:dyDescent="0.25">
      <c r="A13" s="37" t="s">
        <v>30</v>
      </c>
      <c r="B13" s="33" t="s">
        <v>24</v>
      </c>
      <c r="C13" s="33" t="s">
        <v>28</v>
      </c>
      <c r="D13" s="40">
        <v>1.2389680923285811E-2</v>
      </c>
      <c r="E13" s="40">
        <v>1.0443583118001722E-2</v>
      </c>
      <c r="F13" s="40">
        <v>2.385545267489712E-2</v>
      </c>
      <c r="G13" s="40">
        <v>4.5651389390111874E-2</v>
      </c>
      <c r="H13" s="40">
        <v>4.9965635738831615E-2</v>
      </c>
      <c r="I13" s="40">
        <v>4.8041366306706586E-2</v>
      </c>
      <c r="J13" s="41">
        <v>6.3014881802991862E-2</v>
      </c>
      <c r="K13" s="41">
        <v>6.2114135972043176E-2</v>
      </c>
      <c r="L13" s="41">
        <v>8.0952453121035037E-2</v>
      </c>
      <c r="M13" s="41">
        <v>7.4759598604756422E-2</v>
      </c>
      <c r="N13" s="41">
        <v>6.9446025487533744E-2</v>
      </c>
      <c r="O13" s="41">
        <v>7.2559975878999691E-2</v>
      </c>
      <c r="P13" s="38">
        <v>5.1099514918266226E-2</v>
      </c>
    </row>
    <row r="14" spans="1:16" x14ac:dyDescent="0.25">
      <c r="A14" s="28" t="s">
        <v>31</v>
      </c>
      <c r="B14" s="29"/>
      <c r="C14" s="42" t="s">
        <v>26</v>
      </c>
      <c r="D14" s="31">
        <v>255</v>
      </c>
      <c r="E14" s="31">
        <v>295</v>
      </c>
      <c r="F14" s="31">
        <v>596</v>
      </c>
      <c r="G14" s="31">
        <v>720</v>
      </c>
      <c r="H14" s="31">
        <v>727</v>
      </c>
      <c r="I14" s="31">
        <v>790</v>
      </c>
      <c r="J14" s="31">
        <v>1201.0841824499998</v>
      </c>
      <c r="K14" s="31">
        <v>1554.3108845500001</v>
      </c>
      <c r="L14" s="31">
        <v>1741.5835728500001</v>
      </c>
      <c r="M14" s="31">
        <v>1851.4692869</v>
      </c>
      <c r="N14" s="31">
        <v>1853.9060264000002</v>
      </c>
      <c r="O14" s="31">
        <v>2057.2246445999999</v>
      </c>
      <c r="P14" s="43">
        <v>13642.57859775</v>
      </c>
    </row>
    <row r="15" spans="1:16" x14ac:dyDescent="0.25">
      <c r="A15" s="32" t="s">
        <v>32</v>
      </c>
      <c r="B15" s="33" t="s">
        <v>31</v>
      </c>
      <c r="C15" s="33" t="s">
        <v>26</v>
      </c>
      <c r="D15" s="34">
        <v>73</v>
      </c>
      <c r="E15" s="34">
        <v>97</v>
      </c>
      <c r="F15" s="34">
        <v>371</v>
      </c>
      <c r="G15" s="34">
        <v>506</v>
      </c>
      <c r="H15" s="34">
        <v>656</v>
      </c>
      <c r="I15" s="35">
        <v>750</v>
      </c>
      <c r="J15" s="35">
        <v>1121.0841824499998</v>
      </c>
      <c r="K15" s="35">
        <v>1434.3108845500001</v>
      </c>
      <c r="L15" s="35">
        <v>1591.5835728500001</v>
      </c>
      <c r="M15" s="35">
        <v>1701.4692869</v>
      </c>
      <c r="N15" s="35">
        <v>1703.7560264000001</v>
      </c>
      <c r="O15" s="35">
        <v>1907.2246445999999</v>
      </c>
      <c r="P15" s="44">
        <v>11912.42859775</v>
      </c>
    </row>
    <row r="16" spans="1:16" x14ac:dyDescent="0.25">
      <c r="A16" s="104" t="s">
        <v>108</v>
      </c>
      <c r="B16" s="33"/>
      <c r="C16" s="33" t="s">
        <v>26</v>
      </c>
      <c r="D16" s="34"/>
      <c r="E16" s="34"/>
      <c r="F16" s="34"/>
      <c r="G16" s="34"/>
      <c r="H16" s="34"/>
      <c r="I16" s="105">
        <v>300</v>
      </c>
      <c r="J16" s="105">
        <v>571.08418244999996</v>
      </c>
      <c r="K16" s="105">
        <v>734.31088454999997</v>
      </c>
      <c r="L16" s="105">
        <v>761.58357285</v>
      </c>
      <c r="M16" s="105">
        <v>901.46928690000004</v>
      </c>
      <c r="N16" s="105">
        <v>1003.7560264000001</v>
      </c>
      <c r="O16" s="105">
        <v>1097.2246445999999</v>
      </c>
      <c r="P16" s="106">
        <f>I16+J16+K16+L16+M16+N16+O16</f>
        <v>5369.4285977500003</v>
      </c>
    </row>
    <row r="17" spans="1:16" x14ac:dyDescent="0.25">
      <c r="A17" s="104" t="s">
        <v>109</v>
      </c>
      <c r="B17" s="33"/>
      <c r="C17" s="33" t="s">
        <v>26</v>
      </c>
      <c r="D17" s="34"/>
      <c r="E17" s="34"/>
      <c r="F17" s="34"/>
      <c r="G17" s="34"/>
      <c r="H17" s="34"/>
      <c r="I17" s="105">
        <v>450</v>
      </c>
      <c r="J17" s="105">
        <v>550</v>
      </c>
      <c r="K17" s="105">
        <v>700</v>
      </c>
      <c r="L17" s="105">
        <v>830</v>
      </c>
      <c r="M17" s="105">
        <v>800</v>
      </c>
      <c r="N17" s="105">
        <v>700</v>
      </c>
      <c r="O17" s="105">
        <v>810</v>
      </c>
      <c r="P17" s="106">
        <f>I17+J17+K17+L17+M17+N17+O17</f>
        <v>4840</v>
      </c>
    </row>
    <row r="18" spans="1:16" x14ac:dyDescent="0.25">
      <c r="A18" s="32" t="s">
        <v>33</v>
      </c>
      <c r="B18" s="33" t="s">
        <v>31</v>
      </c>
      <c r="C18" s="33" t="s">
        <v>26</v>
      </c>
      <c r="D18" s="34">
        <v>0</v>
      </c>
      <c r="E18" s="34">
        <v>0</v>
      </c>
      <c r="F18" s="34">
        <v>2</v>
      </c>
      <c r="G18" s="34">
        <v>6</v>
      </c>
      <c r="H18" s="34">
        <v>1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0.15</v>
      </c>
      <c r="O18" s="35">
        <v>0</v>
      </c>
      <c r="P18" s="44">
        <v>9.15</v>
      </c>
    </row>
    <row r="19" spans="1:16" x14ac:dyDescent="0.25">
      <c r="A19" s="32" t="s">
        <v>34</v>
      </c>
      <c r="B19" s="33" t="s">
        <v>31</v>
      </c>
      <c r="C19" s="33" t="s">
        <v>26</v>
      </c>
      <c r="D19" s="34">
        <v>7</v>
      </c>
      <c r="E19" s="34">
        <v>44</v>
      </c>
      <c r="F19" s="34">
        <v>16</v>
      </c>
      <c r="G19" s="34">
        <v>20</v>
      </c>
      <c r="H19" s="34">
        <v>8</v>
      </c>
      <c r="I19" s="35">
        <v>40</v>
      </c>
      <c r="J19" s="35">
        <v>80</v>
      </c>
      <c r="K19" s="35">
        <v>120</v>
      </c>
      <c r="L19" s="35">
        <v>150</v>
      </c>
      <c r="M19" s="35">
        <v>150</v>
      </c>
      <c r="N19" s="35">
        <v>150</v>
      </c>
      <c r="O19" s="35">
        <v>150</v>
      </c>
      <c r="P19" s="44">
        <v>935</v>
      </c>
    </row>
    <row r="20" spans="1:16" x14ac:dyDescent="0.25">
      <c r="A20" s="32" t="s">
        <v>35</v>
      </c>
      <c r="B20" s="33" t="s">
        <v>31</v>
      </c>
      <c r="C20" s="33" t="s">
        <v>26</v>
      </c>
      <c r="D20" s="34">
        <v>175</v>
      </c>
      <c r="E20" s="34">
        <v>154</v>
      </c>
      <c r="F20" s="34">
        <v>207</v>
      </c>
      <c r="G20" s="34">
        <v>188</v>
      </c>
      <c r="H20" s="34">
        <v>62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44">
        <v>786</v>
      </c>
    </row>
    <row r="21" spans="1:16" hidden="1" outlineLevel="1" x14ac:dyDescent="0.25">
      <c r="A21" s="28" t="s">
        <v>36</v>
      </c>
      <c r="B21" s="29"/>
      <c r="C21" s="42"/>
      <c r="D21" s="45"/>
      <c r="E21" s="45"/>
      <c r="F21" s="45"/>
      <c r="G21" s="45"/>
      <c r="H21" s="45"/>
      <c r="I21" s="30"/>
      <c r="J21" s="30"/>
      <c r="K21" s="30"/>
      <c r="L21" s="30"/>
      <c r="M21" s="30"/>
      <c r="N21" s="30"/>
      <c r="O21" s="30"/>
      <c r="P21" s="45">
        <v>0.99999999999999989</v>
      </c>
    </row>
    <row r="22" spans="1:16" hidden="1" outlineLevel="1" x14ac:dyDescent="0.25">
      <c r="A22" s="32" t="s">
        <v>37</v>
      </c>
      <c r="B22" s="46"/>
      <c r="C22" s="33" t="s">
        <v>28</v>
      </c>
      <c r="D22" s="38">
        <v>0.31372549019607843</v>
      </c>
      <c r="E22" s="38">
        <v>0.47796610169491527</v>
      </c>
      <c r="F22" s="38">
        <v>0.64932885906040272</v>
      </c>
      <c r="G22" s="38">
        <v>0.73055555555555551</v>
      </c>
      <c r="H22" s="38">
        <v>0.91334250343878953</v>
      </c>
      <c r="I22" s="39">
        <v>1</v>
      </c>
      <c r="J22" s="39">
        <v>1</v>
      </c>
      <c r="K22" s="39">
        <v>1</v>
      </c>
      <c r="L22" s="39">
        <v>1</v>
      </c>
      <c r="M22" s="39">
        <v>1</v>
      </c>
      <c r="N22" s="39">
        <v>0.99991908975003907</v>
      </c>
      <c r="O22" s="39">
        <v>1</v>
      </c>
      <c r="P22" s="38">
        <v>0.84040313330798166</v>
      </c>
    </row>
    <row r="23" spans="1:16" hidden="1" outlineLevel="1" x14ac:dyDescent="0.25">
      <c r="A23" s="32" t="s">
        <v>38</v>
      </c>
      <c r="B23" s="46"/>
      <c r="C23" s="33" t="s">
        <v>28</v>
      </c>
      <c r="D23" s="38">
        <v>0.68627450980392157</v>
      </c>
      <c r="E23" s="38">
        <v>0.52203389830508473</v>
      </c>
      <c r="F23" s="38">
        <v>0.35067114093959734</v>
      </c>
      <c r="G23" s="38">
        <v>0.26944444444444443</v>
      </c>
      <c r="H23" s="38">
        <v>8.6657496561210454E-2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8.0910249960876863E-5</v>
      </c>
      <c r="O23" s="39">
        <v>0</v>
      </c>
      <c r="P23" s="38">
        <v>0.15959686669201825</v>
      </c>
    </row>
    <row r="24" spans="1:16" hidden="1" outlineLevel="1" x14ac:dyDescent="0.25">
      <c r="A24" s="28" t="s">
        <v>39</v>
      </c>
      <c r="B24" s="29"/>
      <c r="C24" s="42"/>
      <c r="D24" s="45"/>
      <c r="E24" s="45"/>
      <c r="F24" s="45"/>
      <c r="G24" s="45"/>
      <c r="H24" s="45"/>
      <c r="I24" s="30"/>
      <c r="J24" s="30"/>
      <c r="K24" s="30"/>
      <c r="L24" s="30"/>
      <c r="M24" s="30"/>
      <c r="N24" s="30"/>
      <c r="O24" s="30"/>
      <c r="P24" s="45">
        <v>0.99999999999999989</v>
      </c>
    </row>
    <row r="25" spans="1:16" hidden="1" outlineLevel="1" x14ac:dyDescent="0.25">
      <c r="A25" s="47" t="s">
        <v>40</v>
      </c>
      <c r="B25" s="48" t="s">
        <v>39</v>
      </c>
      <c r="C25" s="33" t="s">
        <v>28</v>
      </c>
      <c r="D25" s="38">
        <v>0.60273972602739723</v>
      </c>
      <c r="E25" s="38">
        <v>0.62886597938144329</v>
      </c>
      <c r="F25" s="38">
        <v>0.44204851752021562</v>
      </c>
      <c r="G25" s="38">
        <v>0.41304347826086962</v>
      </c>
      <c r="H25" s="38">
        <v>0.23932926829268292</v>
      </c>
      <c r="I25" s="39">
        <v>0.3</v>
      </c>
      <c r="J25" s="39">
        <v>0.27</v>
      </c>
      <c r="K25" s="39">
        <v>0.25</v>
      </c>
      <c r="L25" s="39">
        <v>0.2</v>
      </c>
      <c r="M25" s="39">
        <v>0.17</v>
      </c>
      <c r="N25" s="39">
        <v>0.14000000000000001</v>
      </c>
      <c r="O25" s="39">
        <v>0.13</v>
      </c>
      <c r="P25" s="38">
        <v>0.31550224745688404</v>
      </c>
    </row>
    <row r="26" spans="1:16" hidden="1" outlineLevel="1" x14ac:dyDescent="0.25">
      <c r="A26" s="47" t="s">
        <v>41</v>
      </c>
      <c r="B26" s="48" t="s">
        <v>39</v>
      </c>
      <c r="C26" s="33" t="s">
        <v>28</v>
      </c>
      <c r="D26" s="38">
        <v>0.39726027397260277</v>
      </c>
      <c r="E26" s="38">
        <v>0.37113402061855671</v>
      </c>
      <c r="F26" s="38">
        <v>0.55795148247978443</v>
      </c>
      <c r="G26" s="38">
        <v>0.58695652173913038</v>
      </c>
      <c r="H26" s="38">
        <v>0.76067073170731714</v>
      </c>
      <c r="I26" s="39">
        <v>0.7</v>
      </c>
      <c r="J26" s="39">
        <v>0.73</v>
      </c>
      <c r="K26" s="39">
        <v>0.75</v>
      </c>
      <c r="L26" s="39">
        <v>0.8</v>
      </c>
      <c r="M26" s="39">
        <v>0.83</v>
      </c>
      <c r="N26" s="39">
        <v>0.86</v>
      </c>
      <c r="O26" s="39">
        <v>0.87</v>
      </c>
      <c r="P26" s="38">
        <v>0.68449775254311584</v>
      </c>
    </row>
    <row r="27" spans="1:16" collapsed="1" x14ac:dyDescent="0.25">
      <c r="A27" s="28" t="s">
        <v>42</v>
      </c>
      <c r="B27" s="29"/>
      <c r="C27" s="42"/>
      <c r="D27" s="49">
        <v>1.9494817875000006</v>
      </c>
      <c r="E27" s="49">
        <v>1.8027790000000001</v>
      </c>
      <c r="F27" s="49">
        <v>2.0593520878552969</v>
      </c>
      <c r="G27" s="49">
        <v>2.0418252680608369</v>
      </c>
      <c r="H27" s="49">
        <v>2.2216559292168676</v>
      </c>
      <c r="I27" s="49">
        <v>2.1687341772151902</v>
      </c>
      <c r="J27" s="49">
        <v>2.1936607218738602</v>
      </c>
      <c r="K27" s="49">
        <v>2.2053351302602184</v>
      </c>
      <c r="L27" s="49">
        <v>2.265612414249961</v>
      </c>
      <c r="M27" s="49">
        <v>2.3058943425309835</v>
      </c>
      <c r="N27" s="49">
        <v>2.3416752722657561</v>
      </c>
      <c r="O27" s="49">
        <v>2.363325876697397</v>
      </c>
      <c r="P27" s="49">
        <v>2.1618464915835389</v>
      </c>
    </row>
    <row r="28" spans="1:16" x14ac:dyDescent="0.25">
      <c r="A28" s="32" t="s">
        <v>43</v>
      </c>
      <c r="B28" s="33" t="s">
        <v>42</v>
      </c>
      <c r="C28" s="33" t="s">
        <v>44</v>
      </c>
      <c r="D28" s="50">
        <v>2.026319767123288</v>
      </c>
      <c r="E28" s="50">
        <v>1.9289828762886601</v>
      </c>
      <c r="F28" s="50">
        <v>2.0885921778975742</v>
      </c>
      <c r="G28" s="50">
        <v>2.0613974130434785</v>
      </c>
      <c r="H28" s="50">
        <v>2.2324916722560975</v>
      </c>
      <c r="I28" s="51">
        <v>2.2044000000000001</v>
      </c>
      <c r="J28" s="51">
        <v>2.24316</v>
      </c>
      <c r="K28" s="51">
        <v>2.2690000000000001</v>
      </c>
      <c r="L28" s="51">
        <v>2.333600000000001</v>
      </c>
      <c r="M28" s="51">
        <v>2.37236</v>
      </c>
      <c r="N28" s="51">
        <v>2.4111199999999999</v>
      </c>
      <c r="O28" s="51">
        <v>2.4240400000000002</v>
      </c>
      <c r="P28" s="50">
        <v>2.2162886588840918</v>
      </c>
    </row>
    <row r="29" spans="1:16" x14ac:dyDescent="0.25">
      <c r="A29" s="32" t="s">
        <v>45</v>
      </c>
      <c r="B29" s="33" t="s">
        <v>42</v>
      </c>
      <c r="C29" s="33" t="s">
        <v>44</v>
      </c>
      <c r="D29" s="50">
        <v>1.1481714285714286</v>
      </c>
      <c r="E29" s="50">
        <v>1.5245568181818181</v>
      </c>
      <c r="F29" s="50">
        <v>1.3813475</v>
      </c>
      <c r="G29" s="50">
        <v>1.5466500000000001</v>
      </c>
      <c r="H29" s="50">
        <v>1.3331249999999999</v>
      </c>
      <c r="I29" s="51">
        <v>1.5</v>
      </c>
      <c r="J29" s="51">
        <v>1.5</v>
      </c>
      <c r="K29" s="51">
        <v>1.444375</v>
      </c>
      <c r="L29" s="51">
        <v>1.5442262499999999</v>
      </c>
      <c r="M29" s="51">
        <v>1.5519658437500004</v>
      </c>
      <c r="N29" s="51">
        <v>1.55289611640625</v>
      </c>
      <c r="O29" s="51">
        <v>1.5913560617773439</v>
      </c>
      <c r="P29" s="50">
        <v>1.4682225015572368</v>
      </c>
    </row>
    <row r="30" spans="1:16" x14ac:dyDescent="0.25">
      <c r="A30" s="47" t="s">
        <v>46</v>
      </c>
      <c r="B30" s="33" t="s">
        <v>42</v>
      </c>
      <c r="C30" s="33" t="s">
        <v>44</v>
      </c>
      <c r="D30" s="50">
        <v>1.34</v>
      </c>
      <c r="E30" s="50">
        <v>1.06</v>
      </c>
      <c r="F30" s="50">
        <v>1.1299999999999999</v>
      </c>
      <c r="G30" s="50">
        <v>1.05</v>
      </c>
      <c r="H30" s="50">
        <v>1.25</v>
      </c>
      <c r="I30" s="51">
        <v>1.4</v>
      </c>
      <c r="J30" s="51">
        <v>1.4246162221012519</v>
      </c>
      <c r="K30" s="51">
        <v>1.4410270368354201</v>
      </c>
      <c r="L30" s="51">
        <v>1.4820540736708403</v>
      </c>
      <c r="M30" s="51">
        <v>1.5066702957720921</v>
      </c>
      <c r="N30" s="51">
        <v>1.5312865178733439</v>
      </c>
      <c r="O30" s="51">
        <v>1.5394919252404284</v>
      </c>
      <c r="P30" s="50">
        <v>1.3462621726244481</v>
      </c>
    </row>
    <row r="31" spans="1:16" x14ac:dyDescent="0.25">
      <c r="A31" s="28" t="s">
        <v>47</v>
      </c>
      <c r="B31" s="29"/>
      <c r="C31" s="42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x14ac:dyDescent="0.25">
      <c r="A32" s="47" t="s">
        <v>46</v>
      </c>
      <c r="B32" s="33" t="s">
        <v>47</v>
      </c>
      <c r="C32" s="33" t="s">
        <v>44</v>
      </c>
      <c r="D32" s="50">
        <v>1.34</v>
      </c>
      <c r="E32" s="50">
        <v>1.06</v>
      </c>
      <c r="F32" s="50">
        <v>1.1299999999999999</v>
      </c>
      <c r="G32" s="50">
        <v>1.05</v>
      </c>
      <c r="H32" s="50">
        <v>1.25</v>
      </c>
      <c r="I32" s="51">
        <v>1.4</v>
      </c>
      <c r="J32" s="51">
        <v>1.4246162221012519</v>
      </c>
      <c r="K32" s="51">
        <v>1.4410270368354201</v>
      </c>
      <c r="L32" s="51">
        <v>1.4820540736708403</v>
      </c>
      <c r="M32" s="51">
        <v>1.5066702957720921</v>
      </c>
      <c r="N32" s="51">
        <v>1.5312865178733439</v>
      </c>
      <c r="O32" s="51">
        <v>1.5394919252404284</v>
      </c>
      <c r="P32" s="50">
        <v>1.3462621726244481</v>
      </c>
    </row>
    <row r="33" spans="1:16" x14ac:dyDescent="0.25">
      <c r="A33" s="32" t="s">
        <v>48</v>
      </c>
      <c r="B33" s="33" t="s">
        <v>47</v>
      </c>
      <c r="C33" s="33" t="s">
        <v>26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1">
        <v>136</v>
      </c>
      <c r="J33" s="51">
        <v>239.43303400853429</v>
      </c>
      <c r="K33" s="51">
        <v>320.37757103163796</v>
      </c>
      <c r="L33" s="51">
        <v>332.27656070603382</v>
      </c>
      <c r="M33" s="51">
        <v>393.30826571314338</v>
      </c>
      <c r="N33" s="51">
        <v>437.93565424741286</v>
      </c>
      <c r="O33" s="51">
        <v>478.71572369299992</v>
      </c>
      <c r="P33" s="50">
        <v>194.83723411664687</v>
      </c>
    </row>
    <row r="34" spans="1:16" x14ac:dyDescent="0.25">
      <c r="A34" s="52" t="s">
        <v>49</v>
      </c>
      <c r="B34" s="53" t="s">
        <v>47</v>
      </c>
      <c r="C34" s="53" t="s">
        <v>28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9">
        <v>0.1</v>
      </c>
      <c r="J34" s="39">
        <v>0.13</v>
      </c>
      <c r="K34" s="39">
        <v>0.16</v>
      </c>
      <c r="L34" s="39">
        <v>0.2</v>
      </c>
      <c r="M34" s="39">
        <v>0.22</v>
      </c>
      <c r="N34" s="39">
        <v>0.25</v>
      </c>
      <c r="O34" s="39">
        <v>0.25</v>
      </c>
      <c r="P34" s="38">
        <v>0.10916666666666668</v>
      </c>
    </row>
    <row r="35" spans="1:16" x14ac:dyDescent="0.25">
      <c r="A35" s="32" t="s">
        <v>50</v>
      </c>
      <c r="B35" s="33" t="s">
        <v>47</v>
      </c>
      <c r="C35" s="33" t="s">
        <v>28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1">
        <v>4.165E-2</v>
      </c>
      <c r="J35" s="51">
        <v>4.165E-2</v>
      </c>
      <c r="K35" s="51">
        <v>4.165E-2</v>
      </c>
      <c r="L35" s="51">
        <v>4.165E-2</v>
      </c>
      <c r="M35" s="51">
        <v>4.165E-2</v>
      </c>
      <c r="N35" s="51">
        <v>4.165E-2</v>
      </c>
      <c r="O35" s="51">
        <v>4.165E-2</v>
      </c>
      <c r="P35" s="50">
        <v>2.4295833333333332E-2</v>
      </c>
    </row>
    <row r="36" spans="1:16" x14ac:dyDescent="0.25">
      <c r="A36" s="32" t="s">
        <v>51</v>
      </c>
      <c r="B36" s="33" t="s">
        <v>47</v>
      </c>
      <c r="C36" s="33" t="s">
        <v>28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1">
        <v>0.77500000000000002</v>
      </c>
      <c r="J36" s="51">
        <v>0.77500000000000002</v>
      </c>
      <c r="K36" s="51">
        <v>0.77500000000000002</v>
      </c>
      <c r="L36" s="51">
        <v>0.77500000000000002</v>
      </c>
      <c r="M36" s="51">
        <v>0.77500000000000002</v>
      </c>
      <c r="N36" s="51">
        <v>0.77500000000000002</v>
      </c>
      <c r="O36" s="51">
        <v>0.77500000000000002</v>
      </c>
      <c r="P36" s="50">
        <v>0.45208333333333339</v>
      </c>
    </row>
    <row r="37" spans="1:16" x14ac:dyDescent="0.25">
      <c r="A37" s="28" t="s">
        <v>52</v>
      </c>
      <c r="B37" s="29"/>
      <c r="C37" s="42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x14ac:dyDescent="0.25">
      <c r="A38" s="32" t="s">
        <v>53</v>
      </c>
      <c r="B38" s="33" t="s">
        <v>52</v>
      </c>
      <c r="C38" s="33" t="s">
        <v>28</v>
      </c>
      <c r="D38" s="54">
        <v>1.8067383420119435E-2</v>
      </c>
      <c r="E38" s="54">
        <v>1.5042468003502452E-2</v>
      </c>
      <c r="F38" s="54">
        <v>1.4000734225986534E-2</v>
      </c>
      <c r="G38" s="54">
        <v>1.4796595198112716E-2</v>
      </c>
      <c r="H38" s="54">
        <v>1.5747975392066727E-2</v>
      </c>
      <c r="I38" s="55">
        <v>1.4912047226713809E-2</v>
      </c>
      <c r="J38" s="55">
        <v>1.5708517468530546E-2</v>
      </c>
      <c r="K38" s="55">
        <v>1.8535882267491227E-2</v>
      </c>
      <c r="L38" s="55">
        <v>1.9435520419740681E-2</v>
      </c>
      <c r="M38" s="55">
        <v>2.1059636273003123E-2</v>
      </c>
      <c r="N38" s="55">
        <v>2.1589143052671057E-2</v>
      </c>
      <c r="O38" s="55">
        <v>2.1999999999999999E-2</v>
      </c>
      <c r="P38" s="54">
        <v>1.7574658578994855E-2</v>
      </c>
    </row>
    <row r="39" spans="1:16" x14ac:dyDescent="0.25">
      <c r="A39" s="32" t="s">
        <v>54</v>
      </c>
      <c r="B39" s="33" t="s">
        <v>52</v>
      </c>
      <c r="C39" s="33" t="s">
        <v>28</v>
      </c>
      <c r="D39" s="54">
        <v>1.9191633902354052E-2</v>
      </c>
      <c r="E39" s="54">
        <v>1.4824241023844486E-2</v>
      </c>
      <c r="F39" s="54">
        <v>1.3111092610657344E-2</v>
      </c>
      <c r="G39" s="54">
        <v>1.3349141693337214E-2</v>
      </c>
      <c r="H39" s="54">
        <v>1.3631036099390531E-2</v>
      </c>
      <c r="I39" s="55">
        <v>1.4E-2</v>
      </c>
      <c r="J39" s="55">
        <v>1.366005926424258E-2</v>
      </c>
      <c r="K39" s="55">
        <v>1.4999999999999999E-2</v>
      </c>
      <c r="L39" s="55">
        <v>1.4999999999999999E-2</v>
      </c>
      <c r="M39" s="55">
        <v>1.4999999999999999E-2</v>
      </c>
      <c r="N39" s="55">
        <v>1.4999999999999999E-2</v>
      </c>
      <c r="O39" s="55">
        <v>1.4999999999999999E-2</v>
      </c>
      <c r="P39" s="54">
        <v>1.4730600382818851E-2</v>
      </c>
    </row>
    <row r="40" spans="1:16" hidden="1" outlineLevel="1" x14ac:dyDescent="0.25">
      <c r="A40" s="28" t="s">
        <v>55</v>
      </c>
      <c r="B40" s="29"/>
      <c r="C40" s="30"/>
      <c r="D40" s="31">
        <v>155.95854300000005</v>
      </c>
      <c r="E40" s="31">
        <v>254.19183900000002</v>
      </c>
      <c r="F40" s="31">
        <v>796.96925799999997</v>
      </c>
      <c r="G40" s="31">
        <v>1074.0000910000001</v>
      </c>
      <c r="H40" s="31">
        <v>1475.179537</v>
      </c>
      <c r="I40" s="31">
        <v>1713.3000000000002</v>
      </c>
      <c r="J40" s="31">
        <v>2634.7711947045418</v>
      </c>
      <c r="K40" s="31">
        <v>3427.7763970439501</v>
      </c>
      <c r="L40" s="31">
        <v>3945.7533631027618</v>
      </c>
      <c r="M40" s="31">
        <v>4269.2925540325841</v>
      </c>
      <c r="N40" s="31">
        <v>4340.894647834506</v>
      </c>
      <c r="O40" s="31">
        <v>4861.8922367627856</v>
      </c>
      <c r="P40" s="56">
        <v>28949.979661481131</v>
      </c>
    </row>
    <row r="41" spans="1:16" hidden="1" outlineLevel="1" x14ac:dyDescent="0.25">
      <c r="A41" s="32" t="s">
        <v>53</v>
      </c>
      <c r="B41" s="46"/>
      <c r="C41" s="33" t="s">
        <v>44</v>
      </c>
      <c r="D41" s="57">
        <v>147.92134300000004</v>
      </c>
      <c r="E41" s="57">
        <v>187.11133900000002</v>
      </c>
      <c r="F41" s="57">
        <v>774.86769800000002</v>
      </c>
      <c r="G41" s="57">
        <v>1043.0670910000001</v>
      </c>
      <c r="H41" s="57">
        <v>1464.514537</v>
      </c>
      <c r="I41" s="58">
        <v>1653.3000000000002</v>
      </c>
      <c r="J41" s="58">
        <v>2514.7711947045418</v>
      </c>
      <c r="K41" s="58">
        <v>3254.4513970439502</v>
      </c>
      <c r="L41" s="58">
        <v>3714.119425602762</v>
      </c>
      <c r="M41" s="58">
        <v>4036.497677470084</v>
      </c>
      <c r="N41" s="58">
        <v>4107.9602303735683</v>
      </c>
      <c r="O41" s="58">
        <v>4623.1888274961839</v>
      </c>
      <c r="P41" s="36">
        <v>27521.770760691092</v>
      </c>
    </row>
    <row r="42" spans="1:16" hidden="1" outlineLevel="1" x14ac:dyDescent="0.25">
      <c r="A42" s="32" t="s">
        <v>54</v>
      </c>
      <c r="B42" s="46"/>
      <c r="C42" s="33" t="s">
        <v>44</v>
      </c>
      <c r="D42" s="50">
        <v>8.0372000000000003</v>
      </c>
      <c r="E42" s="50">
        <v>67.080500000000001</v>
      </c>
      <c r="F42" s="50">
        <v>22.101559999999999</v>
      </c>
      <c r="G42" s="50">
        <v>30.933</v>
      </c>
      <c r="H42" s="50">
        <v>10.664999999999999</v>
      </c>
      <c r="I42" s="58">
        <v>60</v>
      </c>
      <c r="J42" s="58">
        <v>120</v>
      </c>
      <c r="K42" s="58">
        <v>173.32499999999999</v>
      </c>
      <c r="L42" s="58">
        <v>231.63393749999997</v>
      </c>
      <c r="M42" s="58">
        <v>232.79487656250006</v>
      </c>
      <c r="N42" s="58">
        <v>232.93441746093751</v>
      </c>
      <c r="O42" s="58">
        <v>238.7034092666016</v>
      </c>
      <c r="P42" s="36">
        <v>1428.208900790039</v>
      </c>
    </row>
    <row r="43" spans="1:16" collapsed="1" x14ac:dyDescent="0.25">
      <c r="A43" s="28" t="s">
        <v>56</v>
      </c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</row>
    <row r="44" spans="1:16" x14ac:dyDescent="0.25">
      <c r="A44" s="32" t="s">
        <v>57</v>
      </c>
      <c r="B44" s="46"/>
      <c r="C44" s="33" t="s">
        <v>26</v>
      </c>
      <c r="D44" s="34">
        <v>47</v>
      </c>
      <c r="E44" s="34">
        <v>42</v>
      </c>
      <c r="F44" s="34">
        <v>32</v>
      </c>
      <c r="G44" s="34">
        <v>38</v>
      </c>
      <c r="H44" s="34">
        <v>51</v>
      </c>
      <c r="I44" s="51">
        <v>38</v>
      </c>
      <c r="J44" s="51">
        <v>38</v>
      </c>
      <c r="K44" s="51">
        <v>38</v>
      </c>
      <c r="L44" s="51">
        <v>38</v>
      </c>
      <c r="M44" s="51">
        <v>38</v>
      </c>
      <c r="N44" s="51">
        <v>38</v>
      </c>
      <c r="O44" s="51">
        <v>38</v>
      </c>
      <c r="P44" s="59">
        <v>476</v>
      </c>
    </row>
    <row r="45" spans="1:16" x14ac:dyDescent="0.25">
      <c r="A45" s="32" t="s">
        <v>58</v>
      </c>
      <c r="B45" s="46"/>
      <c r="C45" s="33" t="s">
        <v>59</v>
      </c>
      <c r="D45" s="57">
        <v>43.148051063829726</v>
      </c>
      <c r="E45" s="57">
        <v>33.348413014285718</v>
      </c>
      <c r="F45" s="57">
        <v>29.1799</v>
      </c>
      <c r="G45" s="59">
        <v>30.231000000000005</v>
      </c>
      <c r="H45" s="59">
        <v>30.033824509803903</v>
      </c>
      <c r="I45" s="60">
        <v>31.353999999999999</v>
      </c>
      <c r="J45" s="60">
        <v>31.353999999999999</v>
      </c>
      <c r="K45" s="60">
        <v>31.353999999999999</v>
      </c>
      <c r="L45" s="60">
        <v>31.353999999999999</v>
      </c>
      <c r="M45" s="60">
        <v>31.353999999999999</v>
      </c>
      <c r="N45" s="60">
        <v>31.353999999999999</v>
      </c>
      <c r="O45" s="60">
        <v>31.353999999999999</v>
      </c>
      <c r="P45" s="57">
        <v>32.118265715659938</v>
      </c>
    </row>
    <row r="46" spans="1:16" x14ac:dyDescent="0.25">
      <c r="A46" s="32" t="s">
        <v>60</v>
      </c>
      <c r="B46" s="46"/>
      <c r="C46" s="33" t="s">
        <v>26</v>
      </c>
      <c r="D46" s="50">
        <v>326</v>
      </c>
      <c r="E46" s="50">
        <v>396</v>
      </c>
      <c r="F46" s="50">
        <v>603</v>
      </c>
      <c r="G46" s="50">
        <v>368</v>
      </c>
      <c r="H46" s="50">
        <v>181</v>
      </c>
      <c r="I46" s="51">
        <v>357</v>
      </c>
      <c r="J46" s="51">
        <v>900</v>
      </c>
      <c r="K46" s="51">
        <v>900</v>
      </c>
      <c r="L46" s="51">
        <v>900</v>
      </c>
      <c r="M46" s="51">
        <v>600</v>
      </c>
      <c r="N46" s="51">
        <v>357</v>
      </c>
      <c r="O46" s="51">
        <v>357</v>
      </c>
      <c r="P46" s="59">
        <v>6245</v>
      </c>
    </row>
    <row r="47" spans="1:16" x14ac:dyDescent="0.25">
      <c r="A47" s="32" t="s">
        <v>61</v>
      </c>
      <c r="B47" s="46"/>
      <c r="C47" s="33" t="s">
        <v>59</v>
      </c>
      <c r="D47" s="57">
        <v>4.0000000000000009</v>
      </c>
      <c r="E47" s="57">
        <v>5.4936363636363623</v>
      </c>
      <c r="F47" s="57">
        <v>5.5673111774461024</v>
      </c>
      <c r="G47" s="57">
        <v>5.2805978260869573</v>
      </c>
      <c r="H47" s="57">
        <v>4.908397016574586</v>
      </c>
      <c r="I47" s="58">
        <v>5.2427876750700282</v>
      </c>
      <c r="J47" s="58">
        <v>5.4196466666666669</v>
      </c>
      <c r="K47" s="58">
        <v>5.4196466666666669</v>
      </c>
      <c r="L47" s="58">
        <v>5.4196466666666669</v>
      </c>
      <c r="M47" s="58">
        <v>5.5545583333333326</v>
      </c>
      <c r="N47" s="58">
        <v>5.2427876750700282</v>
      </c>
      <c r="O47" s="58">
        <v>5.2427876750700282</v>
      </c>
      <c r="P47" s="57">
        <v>5.2326503118572854</v>
      </c>
    </row>
    <row r="48" spans="1:16" x14ac:dyDescent="0.25">
      <c r="A48" s="28" t="s">
        <v>62</v>
      </c>
      <c r="B48" s="29"/>
      <c r="C48" s="30"/>
      <c r="D48" s="49">
        <v>5.0481614918032767</v>
      </c>
      <c r="E48" s="49">
        <v>6.0533993250819673</v>
      </c>
      <c r="F48" s="49">
        <v>12.646998147540982</v>
      </c>
      <c r="G48" s="49">
        <v>15.523613532786884</v>
      </c>
      <c r="H48" s="49">
        <v>21.007097377049178</v>
      </c>
      <c r="I48" s="49">
        <v>23.911313344201588</v>
      </c>
      <c r="J48" s="49">
        <v>39.871316178632959</v>
      </c>
      <c r="K48" s="49">
        <v>58.506140970040285</v>
      </c>
      <c r="L48" s="49">
        <v>69.59724008535396</v>
      </c>
      <c r="M48" s="49">
        <v>79.697891790488768</v>
      </c>
      <c r="N48" s="49">
        <v>82.504964768734112</v>
      </c>
      <c r="O48" s="49">
        <v>93.689362865775522</v>
      </c>
      <c r="P48" s="49">
        <v>508.05749987748948</v>
      </c>
    </row>
    <row r="49" spans="1:16" x14ac:dyDescent="0.25">
      <c r="A49" s="32" t="s">
        <v>53</v>
      </c>
      <c r="B49" s="33" t="s">
        <v>62</v>
      </c>
      <c r="C49" s="33" t="s">
        <v>44</v>
      </c>
      <c r="D49" s="50">
        <v>2.1906160819672138</v>
      </c>
      <c r="E49" s="50">
        <v>2.3070625655737707</v>
      </c>
      <c r="F49" s="50">
        <v>8.8923907377049165</v>
      </c>
      <c r="G49" s="50">
        <v>12.65068976229508</v>
      </c>
      <c r="H49" s="50">
        <v>18.904212204918032</v>
      </c>
      <c r="I49" s="51">
        <v>20.208268590103227</v>
      </c>
      <c r="J49" s="51">
        <v>32.379776427355516</v>
      </c>
      <c r="K49" s="51">
        <v>49.446006508917222</v>
      </c>
      <c r="L49" s="51">
        <v>59.168724539063923</v>
      </c>
      <c r="M49" s="51">
        <v>69.678010577329388</v>
      </c>
      <c r="N49" s="51">
        <v>72.694541859195482</v>
      </c>
      <c r="O49" s="51">
        <v>83.368978856488553</v>
      </c>
      <c r="P49" s="50">
        <v>431.88927871091232</v>
      </c>
    </row>
    <row r="50" spans="1:16" x14ac:dyDescent="0.25">
      <c r="A50" s="32" t="s">
        <v>54</v>
      </c>
      <c r="B50" s="33" t="s">
        <v>62</v>
      </c>
      <c r="C50" s="33" t="s">
        <v>44</v>
      </c>
      <c r="D50" s="50">
        <v>0.12643196721311475</v>
      </c>
      <c r="E50" s="50">
        <v>0.81509631147540995</v>
      </c>
      <c r="F50" s="50">
        <v>0.23752098360655735</v>
      </c>
      <c r="G50" s="50">
        <v>0.33846639344262297</v>
      </c>
      <c r="H50" s="50">
        <v>0.11915983606557376</v>
      </c>
      <c r="I50" s="51">
        <v>0.68852459016393452</v>
      </c>
      <c r="J50" s="51">
        <v>1.3436123866468113</v>
      </c>
      <c r="K50" s="51">
        <v>2.1310450819672129</v>
      </c>
      <c r="L50" s="51">
        <v>2.8479582479508192</v>
      </c>
      <c r="M50" s="51">
        <v>2.8622320888831978</v>
      </c>
      <c r="N50" s="51">
        <v>2.8639477556672643</v>
      </c>
      <c r="O50" s="51">
        <v>2.9348779827860851</v>
      </c>
      <c r="P50" s="50">
        <v>17.308873625868603</v>
      </c>
    </row>
    <row r="51" spans="1:16" x14ac:dyDescent="0.25">
      <c r="A51" s="32" t="s">
        <v>63</v>
      </c>
      <c r="B51" s="33" t="s">
        <v>62</v>
      </c>
      <c r="C51" s="33" t="s">
        <v>44</v>
      </c>
      <c r="D51" s="50">
        <v>2.7311134426229482</v>
      </c>
      <c r="E51" s="50">
        <v>2.9312404480327872</v>
      </c>
      <c r="F51" s="50">
        <v>3.5170864262295081</v>
      </c>
      <c r="G51" s="50">
        <v>2.5344573770491805</v>
      </c>
      <c r="H51" s="50">
        <v>1.9837253360655731</v>
      </c>
      <c r="I51" s="51">
        <v>2.5107599999999999</v>
      </c>
      <c r="J51" s="51">
        <v>4.9747000000000003</v>
      </c>
      <c r="K51" s="51">
        <v>4.9747000000000003</v>
      </c>
      <c r="L51" s="51">
        <v>4.9747000000000003</v>
      </c>
      <c r="M51" s="51">
        <v>3.7083499999999998</v>
      </c>
      <c r="N51" s="51">
        <v>2.5107599999999999</v>
      </c>
      <c r="O51" s="51">
        <v>2.5107599999999999</v>
      </c>
      <c r="P51" s="50">
        <v>39.862353029999994</v>
      </c>
    </row>
    <row r="52" spans="1:16" x14ac:dyDescent="0.25">
      <c r="A52" s="32" t="s">
        <v>47</v>
      </c>
      <c r="B52" s="33" t="s">
        <v>62</v>
      </c>
      <c r="C52" s="33" t="s">
        <v>44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1">
        <v>0.50376016393442624</v>
      </c>
      <c r="J52" s="51">
        <v>1.1732273646306337</v>
      </c>
      <c r="K52" s="51">
        <v>1.9543893791558471</v>
      </c>
      <c r="L52" s="51">
        <v>2.605857298339211</v>
      </c>
      <c r="M52" s="51">
        <v>3.4492991242761835</v>
      </c>
      <c r="N52" s="51">
        <v>4.4357151538713531</v>
      </c>
      <c r="O52" s="51">
        <v>4.8747460265008682</v>
      </c>
      <c r="P52" s="50">
        <v>18.996994510708522</v>
      </c>
    </row>
    <row r="53" spans="1:16" x14ac:dyDescent="0.25">
      <c r="A53" s="28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</row>
    <row r="54" spans="1:16" x14ac:dyDescent="0.25">
      <c r="A54" s="61"/>
      <c r="C54" s="6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spans="1:16" ht="15.75" x14ac:dyDescent="0.25">
      <c r="A55" s="24" t="s">
        <v>64</v>
      </c>
      <c r="B55" s="24"/>
      <c r="C55" s="63"/>
    </row>
    <row r="56" spans="1:16" x14ac:dyDescent="0.25">
      <c r="A56" s="28" t="s">
        <v>25</v>
      </c>
      <c r="B56" s="28"/>
      <c r="C56" s="28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</row>
    <row r="57" spans="1:16" x14ac:dyDescent="0.25">
      <c r="A57" s="32" t="s">
        <v>65</v>
      </c>
      <c r="B57" s="64" t="s">
        <v>25</v>
      </c>
      <c r="C57" s="33" t="s">
        <v>26</v>
      </c>
      <c r="D57" s="34">
        <v>2724</v>
      </c>
      <c r="E57" s="34">
        <v>1906</v>
      </c>
      <c r="F57" s="34">
        <v>1971</v>
      </c>
      <c r="G57" s="34">
        <v>2494</v>
      </c>
      <c r="H57" s="34">
        <v>2955.5895865237367</v>
      </c>
      <c r="I57" s="58">
        <v>990.2</v>
      </c>
      <c r="J57" s="58">
        <v>1434.0119999999995</v>
      </c>
      <c r="K57" s="58">
        <v>3191.8319999999994</v>
      </c>
      <c r="L57" s="58">
        <v>3633.96</v>
      </c>
      <c r="M57" s="58">
        <v>3969.2990399999999</v>
      </c>
      <c r="N57" s="58">
        <v>4139.4460799999997</v>
      </c>
      <c r="O57" s="58">
        <v>4255.7087999999994</v>
      </c>
      <c r="P57" s="36">
        <v>33665.047506523733</v>
      </c>
    </row>
    <row r="58" spans="1:16" x14ac:dyDescent="0.25">
      <c r="A58" s="32" t="s">
        <v>66</v>
      </c>
      <c r="B58" s="64" t="s">
        <v>25</v>
      </c>
      <c r="C58" s="33" t="s">
        <v>26</v>
      </c>
      <c r="D58" s="34">
        <v>0</v>
      </c>
      <c r="E58" s="34">
        <v>0</v>
      </c>
      <c r="F58" s="34">
        <v>815</v>
      </c>
      <c r="G58" s="34">
        <v>5727</v>
      </c>
      <c r="H58" s="34">
        <v>1173</v>
      </c>
      <c r="I58" s="58">
        <v>0</v>
      </c>
      <c r="J58" s="58">
        <v>0</v>
      </c>
      <c r="K58" s="58">
        <v>0</v>
      </c>
      <c r="L58" s="58">
        <v>180</v>
      </c>
      <c r="M58" s="58">
        <v>15668.999999999998</v>
      </c>
      <c r="N58" s="58">
        <v>16575.600000000002</v>
      </c>
      <c r="O58" s="58">
        <v>0</v>
      </c>
      <c r="P58" s="36">
        <v>40139.600000000006</v>
      </c>
    </row>
    <row r="59" spans="1:16" x14ac:dyDescent="0.25">
      <c r="A59" s="32" t="s">
        <v>67</v>
      </c>
      <c r="B59" s="64" t="s">
        <v>25</v>
      </c>
      <c r="C59" s="33" t="s">
        <v>26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36">
        <v>0</v>
      </c>
    </row>
    <row r="60" spans="1:16" x14ac:dyDescent="0.25">
      <c r="A60" s="32" t="s">
        <v>68</v>
      </c>
      <c r="B60" s="64" t="s">
        <v>25</v>
      </c>
      <c r="C60" s="33" t="s">
        <v>26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36">
        <v>0</v>
      </c>
    </row>
    <row r="61" spans="1:16" x14ac:dyDescent="0.25">
      <c r="A61" s="32" t="s">
        <v>69</v>
      </c>
      <c r="B61" s="64" t="s">
        <v>25</v>
      </c>
      <c r="C61" s="33" t="s">
        <v>26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36">
        <v>0</v>
      </c>
    </row>
    <row r="62" spans="1:16" x14ac:dyDescent="0.25">
      <c r="A62" s="32" t="s">
        <v>70</v>
      </c>
      <c r="B62" s="64" t="s">
        <v>25</v>
      </c>
      <c r="C62" s="33" t="s">
        <v>26</v>
      </c>
      <c r="D62" s="34">
        <v>0</v>
      </c>
      <c r="E62" s="34">
        <v>0</v>
      </c>
      <c r="F62" s="34">
        <v>624</v>
      </c>
      <c r="G62" s="34">
        <v>733.33333333333348</v>
      </c>
      <c r="H62" s="34">
        <v>0</v>
      </c>
      <c r="I62" s="58">
        <v>915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36">
        <v>2272.3333333333335</v>
      </c>
    </row>
    <row r="63" spans="1:16" x14ac:dyDescent="0.25">
      <c r="A63" s="28" t="s">
        <v>71</v>
      </c>
      <c r="B63" s="65"/>
      <c r="C63" s="28"/>
      <c r="D63" s="49">
        <v>188</v>
      </c>
      <c r="E63" s="49">
        <v>192</v>
      </c>
      <c r="F63" s="49">
        <v>1098</v>
      </c>
      <c r="G63" s="49">
        <v>5901</v>
      </c>
      <c r="H63" s="49">
        <v>1377</v>
      </c>
      <c r="I63" s="49">
        <v>262.60000000000002</v>
      </c>
      <c r="J63" s="49">
        <v>513.23</v>
      </c>
      <c r="K63" s="49">
        <v>713.89149999999995</v>
      </c>
      <c r="L63" s="49">
        <v>1214.5860749999999</v>
      </c>
      <c r="M63" s="49">
        <v>12619.315378749998</v>
      </c>
      <c r="N63" s="49">
        <v>13625.681147687501</v>
      </c>
      <c r="O63" s="49">
        <v>2032.8852050718749</v>
      </c>
      <c r="P63" s="49">
        <v>39738.189306509375</v>
      </c>
    </row>
    <row r="64" spans="1:16" x14ac:dyDescent="0.25">
      <c r="A64" s="32" t="s">
        <v>65</v>
      </c>
      <c r="B64" s="64" t="s">
        <v>71</v>
      </c>
      <c r="C64" s="33" t="s">
        <v>26</v>
      </c>
      <c r="D64" s="34">
        <v>183</v>
      </c>
      <c r="E64" s="34">
        <v>184</v>
      </c>
      <c r="F64" s="34">
        <v>274</v>
      </c>
      <c r="G64" s="34">
        <v>164</v>
      </c>
      <c r="H64" s="34">
        <v>193</v>
      </c>
      <c r="I64" s="58">
        <v>250</v>
      </c>
      <c r="J64" s="58">
        <v>500</v>
      </c>
      <c r="K64" s="58">
        <v>700</v>
      </c>
      <c r="L64" s="58">
        <v>1200</v>
      </c>
      <c r="M64" s="58">
        <v>1300</v>
      </c>
      <c r="N64" s="58">
        <v>1600</v>
      </c>
      <c r="O64" s="58">
        <v>1600</v>
      </c>
      <c r="P64" s="36">
        <v>8148</v>
      </c>
    </row>
    <row r="65" spans="1:16" x14ac:dyDescent="0.25">
      <c r="A65" s="32" t="s">
        <v>66</v>
      </c>
      <c r="B65" s="64" t="s">
        <v>71</v>
      </c>
      <c r="C65" s="33" t="s">
        <v>26</v>
      </c>
      <c r="D65" s="34">
        <v>0</v>
      </c>
      <c r="E65" s="34">
        <v>0</v>
      </c>
      <c r="F65" s="34">
        <v>815</v>
      </c>
      <c r="G65" s="34">
        <v>5727</v>
      </c>
      <c r="H65" s="34">
        <v>1173</v>
      </c>
      <c r="I65" s="58">
        <v>0</v>
      </c>
      <c r="J65" s="58">
        <v>0</v>
      </c>
      <c r="K65" s="58">
        <v>0</v>
      </c>
      <c r="L65" s="58">
        <v>0</v>
      </c>
      <c r="M65" s="58">
        <v>11303.999999999998</v>
      </c>
      <c r="N65" s="58">
        <v>12009.6</v>
      </c>
      <c r="O65" s="58">
        <v>416</v>
      </c>
      <c r="P65" s="36">
        <v>31444.6</v>
      </c>
    </row>
    <row r="66" spans="1:16" x14ac:dyDescent="0.25">
      <c r="A66" s="32" t="s">
        <v>67</v>
      </c>
      <c r="B66" s="64" t="s">
        <v>71</v>
      </c>
      <c r="C66" s="33" t="s">
        <v>26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36">
        <v>0</v>
      </c>
    </row>
    <row r="67" spans="1:16" x14ac:dyDescent="0.25">
      <c r="A67" s="32" t="s">
        <v>68</v>
      </c>
      <c r="B67" s="64" t="s">
        <v>71</v>
      </c>
      <c r="C67" s="33" t="s">
        <v>26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36">
        <v>0</v>
      </c>
    </row>
    <row r="68" spans="1:16" x14ac:dyDescent="0.25">
      <c r="A68" s="32" t="s">
        <v>69</v>
      </c>
      <c r="B68" s="64" t="s">
        <v>71</v>
      </c>
      <c r="C68" s="33" t="s">
        <v>26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36">
        <v>0</v>
      </c>
    </row>
    <row r="69" spans="1:16" x14ac:dyDescent="0.25">
      <c r="A69" s="32" t="s">
        <v>70</v>
      </c>
      <c r="B69" s="64" t="s">
        <v>71</v>
      </c>
      <c r="C69" s="33" t="s">
        <v>26</v>
      </c>
      <c r="D69" s="34">
        <v>5</v>
      </c>
      <c r="E69" s="34">
        <v>8</v>
      </c>
      <c r="F69" s="34">
        <v>9</v>
      </c>
      <c r="G69" s="34">
        <v>10</v>
      </c>
      <c r="H69" s="34">
        <v>11</v>
      </c>
      <c r="I69" s="58">
        <v>12.6</v>
      </c>
      <c r="J69" s="58">
        <v>13.230000000000002</v>
      </c>
      <c r="K69" s="58">
        <v>13.891500000000002</v>
      </c>
      <c r="L69" s="58">
        <v>14.586075000000005</v>
      </c>
      <c r="M69" s="58">
        <v>15.315378750000004</v>
      </c>
      <c r="N69" s="58">
        <v>16.081147687500007</v>
      </c>
      <c r="O69" s="58">
        <v>16.885205071875006</v>
      </c>
      <c r="P69" s="36">
        <v>145.58930650937504</v>
      </c>
    </row>
    <row r="70" spans="1:16" x14ac:dyDescent="0.25">
      <c r="A70" s="28" t="s">
        <v>72</v>
      </c>
      <c r="B70" s="65"/>
      <c r="C70" s="28"/>
      <c r="D70" s="49">
        <v>156</v>
      </c>
      <c r="E70" s="49">
        <v>163</v>
      </c>
      <c r="F70" s="49">
        <v>483</v>
      </c>
      <c r="G70" s="49">
        <v>5698</v>
      </c>
      <c r="H70" s="49">
        <v>1330</v>
      </c>
      <c r="I70" s="49">
        <v>262.60000000000002</v>
      </c>
      <c r="J70" s="49">
        <v>513.23</v>
      </c>
      <c r="K70" s="49">
        <v>713.89149999999995</v>
      </c>
      <c r="L70" s="49">
        <v>1214.5860749999999</v>
      </c>
      <c r="M70" s="49">
        <v>12619.315378749998</v>
      </c>
      <c r="N70" s="49">
        <v>13625.681147687501</v>
      </c>
      <c r="O70" s="49">
        <v>2032.8852050718749</v>
      </c>
      <c r="P70" s="66">
        <v>38812.189306509375</v>
      </c>
    </row>
    <row r="71" spans="1:16" x14ac:dyDescent="0.25">
      <c r="A71" s="32" t="s">
        <v>65</v>
      </c>
      <c r="B71" s="64" t="s">
        <v>72</v>
      </c>
      <c r="C71" s="33" t="s">
        <v>26</v>
      </c>
      <c r="D71" s="34">
        <v>151</v>
      </c>
      <c r="E71" s="34">
        <v>155</v>
      </c>
      <c r="F71" s="34">
        <v>195</v>
      </c>
      <c r="G71" s="34">
        <v>153</v>
      </c>
      <c r="H71" s="34">
        <v>146</v>
      </c>
      <c r="I71" s="58">
        <v>250</v>
      </c>
      <c r="J71" s="58">
        <v>500</v>
      </c>
      <c r="K71" s="58">
        <v>700</v>
      </c>
      <c r="L71" s="58">
        <v>1200</v>
      </c>
      <c r="M71" s="58">
        <v>1300</v>
      </c>
      <c r="N71" s="58">
        <v>1600</v>
      </c>
      <c r="O71" s="58">
        <v>1600</v>
      </c>
      <c r="P71" s="36">
        <v>7950</v>
      </c>
    </row>
    <row r="72" spans="1:16" x14ac:dyDescent="0.25">
      <c r="A72" s="32" t="s">
        <v>66</v>
      </c>
      <c r="B72" s="64" t="s">
        <v>72</v>
      </c>
      <c r="C72" s="33" t="s">
        <v>26</v>
      </c>
      <c r="D72" s="34">
        <v>0</v>
      </c>
      <c r="E72" s="34">
        <v>0</v>
      </c>
      <c r="F72" s="34">
        <v>279</v>
      </c>
      <c r="G72" s="34">
        <v>5534</v>
      </c>
      <c r="H72" s="34">
        <v>1173</v>
      </c>
      <c r="I72" s="58">
        <v>0</v>
      </c>
      <c r="J72" s="58">
        <v>0</v>
      </c>
      <c r="K72" s="58">
        <v>0</v>
      </c>
      <c r="L72" s="58">
        <v>0</v>
      </c>
      <c r="M72" s="58">
        <v>11303.999999999998</v>
      </c>
      <c r="N72" s="58">
        <v>12009.6</v>
      </c>
      <c r="O72" s="58">
        <v>416</v>
      </c>
      <c r="P72" s="36">
        <v>30715.599999999999</v>
      </c>
    </row>
    <row r="73" spans="1:16" x14ac:dyDescent="0.25">
      <c r="A73" s="32" t="s">
        <v>67</v>
      </c>
      <c r="B73" s="64" t="s">
        <v>72</v>
      </c>
      <c r="C73" s="33" t="s">
        <v>26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36">
        <v>0</v>
      </c>
    </row>
    <row r="74" spans="1:16" x14ac:dyDescent="0.25">
      <c r="A74" s="32" t="s">
        <v>68</v>
      </c>
      <c r="B74" s="64" t="s">
        <v>72</v>
      </c>
      <c r="C74" s="33" t="s">
        <v>26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36">
        <v>0</v>
      </c>
    </row>
    <row r="75" spans="1:16" x14ac:dyDescent="0.25">
      <c r="A75" s="32" t="s">
        <v>69</v>
      </c>
      <c r="B75" s="64" t="s">
        <v>72</v>
      </c>
      <c r="C75" s="33" t="s">
        <v>26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36">
        <v>0</v>
      </c>
    </row>
    <row r="76" spans="1:16" x14ac:dyDescent="0.25">
      <c r="A76" s="32" t="s">
        <v>70</v>
      </c>
      <c r="B76" s="64" t="s">
        <v>72</v>
      </c>
      <c r="C76" s="33" t="s">
        <v>26</v>
      </c>
      <c r="D76" s="34">
        <v>5</v>
      </c>
      <c r="E76" s="34">
        <v>8</v>
      </c>
      <c r="F76" s="34">
        <v>9</v>
      </c>
      <c r="G76" s="34">
        <v>11</v>
      </c>
      <c r="H76" s="34">
        <v>11</v>
      </c>
      <c r="I76" s="58">
        <v>12.6</v>
      </c>
      <c r="J76" s="58">
        <v>13.230000000000002</v>
      </c>
      <c r="K76" s="58">
        <v>13.891500000000002</v>
      </c>
      <c r="L76" s="58">
        <v>14.586075000000005</v>
      </c>
      <c r="M76" s="58">
        <v>15.315378750000004</v>
      </c>
      <c r="N76" s="58">
        <v>16.081147687500007</v>
      </c>
      <c r="O76" s="58">
        <v>16.885205071875006</v>
      </c>
      <c r="P76" s="36">
        <v>146.58930650937504</v>
      </c>
    </row>
    <row r="77" spans="1:16" hidden="1" outlineLevel="1" x14ac:dyDescent="0.25">
      <c r="A77" s="28" t="s">
        <v>73</v>
      </c>
      <c r="B77" s="65"/>
      <c r="C77" s="28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49">
        <v>18.296298672957111</v>
      </c>
    </row>
    <row r="78" spans="1:16" hidden="1" outlineLevel="1" x14ac:dyDescent="0.25">
      <c r="A78" s="32" t="s">
        <v>65</v>
      </c>
      <c r="B78" s="64" t="s">
        <v>73</v>
      </c>
      <c r="C78" s="33" t="s">
        <v>44</v>
      </c>
      <c r="D78" s="34">
        <v>0.31458754918032739</v>
      </c>
      <c r="E78" s="34">
        <v>0.67435545081967174</v>
      </c>
      <c r="F78" s="34">
        <v>0.36225086065573775</v>
      </c>
      <c r="G78" s="34">
        <v>0.67434749999999999</v>
      </c>
      <c r="H78" s="34">
        <v>0.35977032786885249</v>
      </c>
      <c r="I78" s="58">
        <v>0.61604508196721319</v>
      </c>
      <c r="J78" s="58">
        <v>1.2320901639344264</v>
      </c>
      <c r="K78" s="58">
        <v>1.7249262295081969</v>
      </c>
      <c r="L78" s="58">
        <v>2.9570163934426232</v>
      </c>
      <c r="M78" s="58">
        <v>3.2034344262295078</v>
      </c>
      <c r="N78" s="58">
        <v>3.9426885245901642</v>
      </c>
      <c r="O78" s="58">
        <v>3.9426885245901642</v>
      </c>
      <c r="P78" s="50">
        <v>20.004201032786888</v>
      </c>
    </row>
    <row r="79" spans="1:16" hidden="1" outlineLevel="1" x14ac:dyDescent="0.25">
      <c r="A79" s="32" t="s">
        <v>66</v>
      </c>
      <c r="B79" s="64" t="s">
        <v>73</v>
      </c>
      <c r="C79" s="33" t="s">
        <v>44</v>
      </c>
      <c r="D79" s="34">
        <v>0</v>
      </c>
      <c r="E79" s="34">
        <v>0</v>
      </c>
      <c r="F79" s="34">
        <v>-4.3027745901639339E-2</v>
      </c>
      <c r="G79" s="34">
        <v>-3.4929904644567529</v>
      </c>
      <c r="H79" s="34">
        <v>-0.50564095081963623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0">
        <v>-4.0416591611780284</v>
      </c>
    </row>
    <row r="80" spans="1:16" hidden="1" outlineLevel="1" x14ac:dyDescent="0.25">
      <c r="A80" s="32" t="s">
        <v>67</v>
      </c>
      <c r="B80" s="64" t="s">
        <v>73</v>
      </c>
      <c r="C80" s="33" t="s">
        <v>44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0">
        <v>0</v>
      </c>
    </row>
    <row r="81" spans="1:31" hidden="1" outlineLevel="1" x14ac:dyDescent="0.25">
      <c r="A81" s="32" t="s">
        <v>68</v>
      </c>
      <c r="B81" s="64" t="s">
        <v>73</v>
      </c>
      <c r="C81" s="33" t="s">
        <v>44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0">
        <v>0</v>
      </c>
    </row>
    <row r="82" spans="1:31" hidden="1" outlineLevel="1" x14ac:dyDescent="0.25">
      <c r="A82" s="32" t="s">
        <v>69</v>
      </c>
      <c r="B82" s="64" t="s">
        <v>73</v>
      </c>
      <c r="C82" s="33" t="s">
        <v>44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0">
        <v>0</v>
      </c>
    </row>
    <row r="83" spans="1:31" hidden="1" outlineLevel="1" x14ac:dyDescent="0.25">
      <c r="A83" s="32" t="s">
        <v>70</v>
      </c>
      <c r="B83" s="64" t="s">
        <v>73</v>
      </c>
      <c r="C83" s="33" t="s">
        <v>44</v>
      </c>
      <c r="D83" s="34">
        <v>6.0035999999999992E-2</v>
      </c>
      <c r="E83" s="34">
        <v>0.149397</v>
      </c>
      <c r="F83" s="34">
        <v>0.11524262295081966</v>
      </c>
      <c r="G83" s="34">
        <v>0.13596</v>
      </c>
      <c r="H83" s="34">
        <v>0.16839467213114756</v>
      </c>
      <c r="I83" s="58">
        <v>0.20937420000000001</v>
      </c>
      <c r="J83" s="58">
        <v>0.21984291000000003</v>
      </c>
      <c r="K83" s="58">
        <v>0.2308350555</v>
      </c>
      <c r="L83" s="58">
        <v>0.24237680827500005</v>
      </c>
      <c r="M83" s="58">
        <v>0.25449564868875008</v>
      </c>
      <c r="N83" s="58">
        <v>0.26722043112318761</v>
      </c>
      <c r="O83" s="58">
        <v>0.28058145267934698</v>
      </c>
      <c r="P83" s="50">
        <v>2.3337568013482519</v>
      </c>
    </row>
    <row r="84" spans="1:31" collapsed="1" x14ac:dyDescent="0.25">
      <c r="A84" s="28" t="s">
        <v>74</v>
      </c>
      <c r="B84" s="65"/>
      <c r="C84" s="28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49"/>
    </row>
    <row r="85" spans="1:31" x14ac:dyDescent="0.25">
      <c r="A85" s="32" t="s">
        <v>65</v>
      </c>
      <c r="B85" s="67" t="s">
        <v>74</v>
      </c>
      <c r="C85" s="33" t="s">
        <v>107</v>
      </c>
      <c r="D85" s="36">
        <v>2.0833612528498504</v>
      </c>
      <c r="E85" s="36">
        <v>4.35068032786885</v>
      </c>
      <c r="F85" s="36">
        <v>2.2663899999999999</v>
      </c>
      <c r="G85" s="36">
        <v>4407.5</v>
      </c>
      <c r="H85" s="36">
        <v>2.4641803278688532</v>
      </c>
      <c r="I85" s="100">
        <v>2.4641803278688532</v>
      </c>
      <c r="J85" s="100">
        <v>2.4641803278688532</v>
      </c>
      <c r="K85" s="100">
        <v>2.4641803278688532</v>
      </c>
      <c r="L85" s="100">
        <v>2.4641803278688532</v>
      </c>
      <c r="M85" s="100">
        <v>2.4641803278688532</v>
      </c>
      <c r="N85" s="100">
        <v>2.4641803278688532</v>
      </c>
      <c r="O85" s="100">
        <v>2.4641803278688532</v>
      </c>
      <c r="P85" s="36">
        <v>2.4671188524590169E-3</v>
      </c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</row>
    <row r="86" spans="1:31" x14ac:dyDescent="0.25">
      <c r="A86" s="32" t="s">
        <v>66</v>
      </c>
      <c r="B86" s="67" t="s">
        <v>74</v>
      </c>
      <c r="C86" s="33" t="s">
        <v>107</v>
      </c>
      <c r="D86" s="36">
        <v>0.25</v>
      </c>
      <c r="E86" s="36">
        <v>0</v>
      </c>
      <c r="F86" s="36">
        <v>-0.18814999999999998</v>
      </c>
      <c r="G86" s="36">
        <v>-631.187290288535</v>
      </c>
      <c r="H86" s="36">
        <v>-0.43106645423668905</v>
      </c>
      <c r="I86" s="100">
        <v>0</v>
      </c>
      <c r="J86" s="100">
        <v>0</v>
      </c>
      <c r="K86" s="100">
        <v>0</v>
      </c>
      <c r="L86" s="100">
        <v>0</v>
      </c>
      <c r="M86" s="100">
        <v>-0.60267593135339848</v>
      </c>
      <c r="N86" s="100">
        <v>-0.60267593135339848</v>
      </c>
      <c r="O86" s="100">
        <v>-0.60267593135339848</v>
      </c>
      <c r="P86" s="36">
        <v>-5.2685376280972575E-5</v>
      </c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spans="1:31" x14ac:dyDescent="0.25">
      <c r="A87" s="32" t="s">
        <v>67</v>
      </c>
      <c r="B87" s="67" t="s">
        <v>74</v>
      </c>
      <c r="C87" s="33" t="s">
        <v>107</v>
      </c>
      <c r="D87" s="36">
        <v>0</v>
      </c>
      <c r="E87" s="36">
        <v>0</v>
      </c>
      <c r="F87" s="36">
        <v>0</v>
      </c>
      <c r="G87" s="36">
        <v>0</v>
      </c>
      <c r="H87" s="36">
        <v>0</v>
      </c>
      <c r="I87" s="100">
        <v>0</v>
      </c>
      <c r="J87" s="100">
        <v>0</v>
      </c>
      <c r="K87" s="100">
        <v>0</v>
      </c>
      <c r="L87" s="100">
        <v>0</v>
      </c>
      <c r="M87" s="100">
        <v>0</v>
      </c>
      <c r="N87" s="100">
        <v>0</v>
      </c>
      <c r="O87" s="100">
        <v>0</v>
      </c>
      <c r="P87" s="36">
        <v>0</v>
      </c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spans="1:31" x14ac:dyDescent="0.25">
      <c r="A88" s="32" t="s">
        <v>68</v>
      </c>
      <c r="B88" s="67" t="s">
        <v>74</v>
      </c>
      <c r="C88" s="33" t="s">
        <v>107</v>
      </c>
      <c r="D88" s="36">
        <v>0</v>
      </c>
      <c r="E88" s="36">
        <v>0</v>
      </c>
      <c r="F88" s="36">
        <v>0</v>
      </c>
      <c r="G88" s="36">
        <v>0</v>
      </c>
      <c r="H88" s="36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0">
        <v>0</v>
      </c>
      <c r="P88" s="36">
        <v>5.4644808743169399E-4</v>
      </c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</row>
    <row r="89" spans="1:31" x14ac:dyDescent="0.25">
      <c r="A89" s="32" t="s">
        <v>69</v>
      </c>
      <c r="B89" s="67" t="s">
        <v>74</v>
      </c>
      <c r="C89" s="33" t="s">
        <v>107</v>
      </c>
      <c r="D89" s="36">
        <v>9.0163934426229488</v>
      </c>
      <c r="E89" s="36">
        <v>0</v>
      </c>
      <c r="F89" s="36">
        <v>0</v>
      </c>
      <c r="G89" s="36">
        <v>0</v>
      </c>
      <c r="H89" s="36">
        <v>0</v>
      </c>
      <c r="I89" s="100">
        <v>0</v>
      </c>
      <c r="J89" s="100">
        <v>0</v>
      </c>
      <c r="K89" s="100">
        <v>0</v>
      </c>
      <c r="L89" s="100">
        <v>0</v>
      </c>
      <c r="M89" s="100">
        <v>0</v>
      </c>
      <c r="N89" s="100">
        <v>0</v>
      </c>
      <c r="O89" s="100">
        <v>0</v>
      </c>
      <c r="P89" s="36">
        <v>1.5027322404371584E-3</v>
      </c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</row>
    <row r="90" spans="1:31" x14ac:dyDescent="0.25">
      <c r="A90" s="32" t="s">
        <v>70</v>
      </c>
      <c r="B90" s="67" t="s">
        <v>74</v>
      </c>
      <c r="C90" s="33" t="s">
        <v>107</v>
      </c>
      <c r="D90" s="36">
        <v>12.007200000000001</v>
      </c>
      <c r="E90" s="36">
        <v>18.674624999999999</v>
      </c>
      <c r="F90" s="36">
        <v>12.804735883424408</v>
      </c>
      <c r="G90" s="36">
        <v>12.36</v>
      </c>
      <c r="H90" s="36">
        <v>15.30860655737705</v>
      </c>
      <c r="I90" s="100">
        <v>16.617000000000001</v>
      </c>
      <c r="J90" s="100">
        <v>16.617000000000001</v>
      </c>
      <c r="K90" s="100">
        <v>16.617000000000001</v>
      </c>
      <c r="L90" s="100">
        <v>16.617000000000001</v>
      </c>
      <c r="M90" s="100">
        <v>16.617000000000001</v>
      </c>
      <c r="N90" s="100">
        <v>16.617000000000001</v>
      </c>
      <c r="O90" s="100">
        <v>16.617000000000001</v>
      </c>
      <c r="P90" s="36">
        <v>1.3847499999999997E-2</v>
      </c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</row>
    <row r="91" spans="1:31" hidden="1" outlineLevel="1" x14ac:dyDescent="0.25">
      <c r="A91" s="28" t="s">
        <v>75</v>
      </c>
      <c r="B91" s="65"/>
      <c r="C91" s="28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56"/>
    </row>
    <row r="92" spans="1:31" hidden="1" outlineLevel="1" x14ac:dyDescent="0.25">
      <c r="A92" s="32" t="s">
        <v>65</v>
      </c>
      <c r="B92" s="67" t="s">
        <v>75</v>
      </c>
      <c r="C92" s="33" t="s">
        <v>107</v>
      </c>
      <c r="D92" s="36">
        <v>2.0833612528498504</v>
      </c>
      <c r="E92" s="36">
        <v>4.35068032786885</v>
      </c>
      <c r="F92" s="36">
        <v>1.8576967213114757</v>
      </c>
      <c r="G92" s="36">
        <v>4.4074999999999998</v>
      </c>
      <c r="H92" s="36">
        <v>2.4641803278688532</v>
      </c>
      <c r="I92" s="100">
        <v>2.4641803278688532</v>
      </c>
      <c r="J92" s="100">
        <v>2.4641803278688532</v>
      </c>
      <c r="K92" s="100">
        <v>2.4641803278688532</v>
      </c>
      <c r="L92" s="100">
        <v>2.4641803278688532</v>
      </c>
      <c r="M92" s="100">
        <v>2.4641803278688532</v>
      </c>
      <c r="N92" s="100">
        <v>2.4641803278688532</v>
      </c>
      <c r="O92" s="100">
        <v>2.4641803278688532</v>
      </c>
      <c r="P92" s="36">
        <v>2.701056743748417</v>
      </c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</row>
    <row r="93" spans="1:31" hidden="1" outlineLevel="1" x14ac:dyDescent="0.25">
      <c r="A93" s="32" t="s">
        <v>66</v>
      </c>
      <c r="B93" s="67" t="s">
        <v>75</v>
      </c>
      <c r="C93" s="33" t="s">
        <v>107</v>
      </c>
      <c r="D93" s="36">
        <v>0</v>
      </c>
      <c r="E93" s="36">
        <v>0</v>
      </c>
      <c r="F93" s="36">
        <v>-0.15422131147540982</v>
      </c>
      <c r="G93" s="36">
        <v>-0.63118729028853504</v>
      </c>
      <c r="H93" s="36">
        <v>-0.43106645423668905</v>
      </c>
      <c r="I93" s="100">
        <v>0</v>
      </c>
      <c r="J93" s="100">
        <v>0</v>
      </c>
      <c r="K93" s="100">
        <v>0</v>
      </c>
      <c r="L93" s="100">
        <v>0</v>
      </c>
      <c r="M93" s="100">
        <v>0</v>
      </c>
      <c r="N93" s="100">
        <v>0</v>
      </c>
      <c r="O93" s="100">
        <v>0</v>
      </c>
      <c r="P93" s="36">
        <v>-0.10137292133338616</v>
      </c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</row>
    <row r="94" spans="1:31" hidden="1" outlineLevel="1" x14ac:dyDescent="0.25">
      <c r="A94" s="32" t="s">
        <v>67</v>
      </c>
      <c r="B94" s="67" t="s">
        <v>75</v>
      </c>
      <c r="C94" s="33" t="s">
        <v>107</v>
      </c>
      <c r="D94" s="36">
        <v>0</v>
      </c>
      <c r="E94" s="36">
        <v>0</v>
      </c>
      <c r="F94" s="36">
        <v>0</v>
      </c>
      <c r="G94" s="36">
        <v>0</v>
      </c>
      <c r="H94" s="36">
        <v>0</v>
      </c>
      <c r="I94" s="100">
        <v>0</v>
      </c>
      <c r="J94" s="100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36">
        <v>0</v>
      </c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</row>
    <row r="95" spans="1:31" hidden="1" outlineLevel="1" x14ac:dyDescent="0.25">
      <c r="A95" s="32" t="s">
        <v>68</v>
      </c>
      <c r="B95" s="67" t="s">
        <v>75</v>
      </c>
      <c r="C95" s="33" t="s">
        <v>107</v>
      </c>
      <c r="D95" s="36">
        <v>0</v>
      </c>
      <c r="E95" s="36">
        <v>0</v>
      </c>
      <c r="F95" s="36">
        <v>0</v>
      </c>
      <c r="G95" s="36">
        <v>0</v>
      </c>
      <c r="H95" s="36">
        <v>0</v>
      </c>
      <c r="I95" s="100">
        <v>0</v>
      </c>
      <c r="J95" s="100">
        <v>0</v>
      </c>
      <c r="K95" s="100">
        <v>0</v>
      </c>
      <c r="L95" s="100">
        <v>0</v>
      </c>
      <c r="M95" s="100">
        <v>0</v>
      </c>
      <c r="N95" s="100">
        <v>0</v>
      </c>
      <c r="O95" s="100">
        <v>0</v>
      </c>
      <c r="P95" s="36">
        <v>0</v>
      </c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</row>
    <row r="96" spans="1:31" hidden="1" outlineLevel="1" x14ac:dyDescent="0.25">
      <c r="A96" s="32" t="s">
        <v>69</v>
      </c>
      <c r="B96" s="67" t="s">
        <v>75</v>
      </c>
      <c r="C96" s="33" t="s">
        <v>107</v>
      </c>
      <c r="D96" s="36">
        <v>0</v>
      </c>
      <c r="E96" s="36">
        <v>0</v>
      </c>
      <c r="F96" s="36">
        <v>0</v>
      </c>
      <c r="G96" s="36">
        <v>0</v>
      </c>
      <c r="H96" s="36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0">
        <v>0</v>
      </c>
      <c r="P96" s="36">
        <v>0</v>
      </c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</row>
    <row r="97" spans="1:29" hidden="1" outlineLevel="1" x14ac:dyDescent="0.25">
      <c r="A97" s="32" t="s">
        <v>70</v>
      </c>
      <c r="B97" s="67" t="s">
        <v>75</v>
      </c>
      <c r="C97" s="33" t="s">
        <v>107</v>
      </c>
      <c r="D97" s="36">
        <v>12.007200000000001</v>
      </c>
      <c r="E97" s="36">
        <v>18.674624999999999</v>
      </c>
      <c r="F97" s="36">
        <v>12.804735883424408</v>
      </c>
      <c r="G97" s="36">
        <v>12.36</v>
      </c>
      <c r="H97" s="36">
        <v>15.308606557377052</v>
      </c>
      <c r="I97" s="100">
        <v>16.617000000000001</v>
      </c>
      <c r="J97" s="100">
        <v>16.617000000000001</v>
      </c>
      <c r="K97" s="100">
        <v>16.617000000000001</v>
      </c>
      <c r="L97" s="100">
        <v>16.617000000000001</v>
      </c>
      <c r="M97" s="100">
        <v>16.617000000000001</v>
      </c>
      <c r="N97" s="100">
        <v>16.617000000000001</v>
      </c>
      <c r="O97" s="100">
        <v>16.617000000000001</v>
      </c>
      <c r="P97" s="36">
        <v>15.622847286733451</v>
      </c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</row>
    <row r="98" spans="1:29" collapsed="1" x14ac:dyDescent="0.25">
      <c r="A98" s="28" t="s">
        <v>62</v>
      </c>
      <c r="B98" s="65"/>
      <c r="C98" s="28"/>
      <c r="D98" s="68">
        <v>0.37462354918032736</v>
      </c>
      <c r="E98" s="68">
        <v>0.82375245081967174</v>
      </c>
      <c r="F98" s="68">
        <v>0.43446573770491809</v>
      </c>
      <c r="G98" s="68">
        <v>-2.6826829644567529</v>
      </c>
      <c r="H98" s="69">
        <v>2.2524049180363825E-2</v>
      </c>
      <c r="I98" s="69">
        <v>0.82541928196721326</v>
      </c>
      <c r="J98" s="69">
        <v>1.4519330739344265</v>
      </c>
      <c r="K98" s="69">
        <v>1.9557612850081969</v>
      </c>
      <c r="L98" s="69">
        <v>3.1993932017176232</v>
      </c>
      <c r="M98" s="69">
        <v>3.457930074918258</v>
      </c>
      <c r="N98" s="69">
        <v>4.2099089557133516</v>
      </c>
      <c r="O98" s="69">
        <v>4.2232699772695108</v>
      </c>
      <c r="P98" s="69">
        <v>18.296298672957111</v>
      </c>
    </row>
    <row r="99" spans="1:29" x14ac:dyDescent="0.25">
      <c r="A99" s="32" t="s">
        <v>65</v>
      </c>
      <c r="B99" s="64" t="s">
        <v>62</v>
      </c>
      <c r="C99" s="33" t="s">
        <v>44</v>
      </c>
      <c r="D99" s="70">
        <v>0.31458754918032739</v>
      </c>
      <c r="E99" s="70">
        <v>0.67435545081967174</v>
      </c>
      <c r="F99" s="70">
        <v>0.36225086065573775</v>
      </c>
      <c r="G99" s="70">
        <v>0.67434749999999999</v>
      </c>
      <c r="H99" s="70">
        <v>0.35977032786885249</v>
      </c>
      <c r="I99" s="71">
        <v>0.61604508196721319</v>
      </c>
      <c r="J99" s="71">
        <v>1.2320901639344264</v>
      </c>
      <c r="K99" s="71">
        <v>1.7249262295081969</v>
      </c>
      <c r="L99" s="71">
        <v>2.9570163934426232</v>
      </c>
      <c r="M99" s="71">
        <v>3.2034344262295078</v>
      </c>
      <c r="N99" s="71">
        <v>3.9426885245901642</v>
      </c>
      <c r="O99" s="71">
        <v>3.9426885245901642</v>
      </c>
      <c r="P99" s="50">
        <v>20.004201032786888</v>
      </c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</row>
    <row r="100" spans="1:29" x14ac:dyDescent="0.25">
      <c r="A100" s="32" t="s">
        <v>66</v>
      </c>
      <c r="B100" s="64" t="s">
        <v>62</v>
      </c>
      <c r="C100" s="33" t="s">
        <v>44</v>
      </c>
      <c r="D100" s="70">
        <v>0</v>
      </c>
      <c r="E100" s="70">
        <v>0</v>
      </c>
      <c r="F100" s="70">
        <v>-4.3027745901639339E-2</v>
      </c>
      <c r="G100" s="70">
        <v>-3.4929904644567529</v>
      </c>
      <c r="H100" s="70">
        <v>-0.50564095081963623</v>
      </c>
      <c r="I100" s="71">
        <v>0</v>
      </c>
      <c r="J100" s="71">
        <v>0</v>
      </c>
      <c r="K100" s="71">
        <v>0</v>
      </c>
      <c r="L100" s="71">
        <v>0</v>
      </c>
      <c r="M100" s="71">
        <v>0</v>
      </c>
      <c r="N100" s="71">
        <v>0</v>
      </c>
      <c r="O100" s="71">
        <v>0</v>
      </c>
      <c r="P100" s="50">
        <v>-4.0416591611780284</v>
      </c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</row>
    <row r="101" spans="1:29" x14ac:dyDescent="0.25">
      <c r="A101" s="32" t="s">
        <v>67</v>
      </c>
      <c r="B101" s="64" t="s">
        <v>62</v>
      </c>
      <c r="C101" s="33" t="s">
        <v>44</v>
      </c>
      <c r="D101" s="70">
        <v>0</v>
      </c>
      <c r="E101" s="70">
        <v>0</v>
      </c>
      <c r="F101" s="70">
        <v>0</v>
      </c>
      <c r="G101" s="70">
        <v>0</v>
      </c>
      <c r="H101" s="70">
        <v>0</v>
      </c>
      <c r="I101" s="71">
        <v>0</v>
      </c>
      <c r="J101" s="71">
        <v>0</v>
      </c>
      <c r="K101" s="71">
        <v>0</v>
      </c>
      <c r="L101" s="71">
        <v>0</v>
      </c>
      <c r="M101" s="71">
        <v>0</v>
      </c>
      <c r="N101" s="71">
        <v>0</v>
      </c>
      <c r="O101" s="71">
        <v>0</v>
      </c>
      <c r="P101" s="50">
        <v>0</v>
      </c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</row>
    <row r="102" spans="1:29" x14ac:dyDescent="0.25">
      <c r="A102" s="32" t="s">
        <v>68</v>
      </c>
      <c r="B102" s="64" t="s">
        <v>62</v>
      </c>
      <c r="C102" s="33" t="s">
        <v>44</v>
      </c>
      <c r="D102" s="70">
        <v>0</v>
      </c>
      <c r="E102" s="70">
        <v>0</v>
      </c>
      <c r="F102" s="70">
        <v>0</v>
      </c>
      <c r="G102" s="70">
        <v>0</v>
      </c>
      <c r="H102" s="70">
        <v>0</v>
      </c>
      <c r="I102" s="71">
        <v>0</v>
      </c>
      <c r="J102" s="71">
        <v>0</v>
      </c>
      <c r="K102" s="71">
        <v>0</v>
      </c>
      <c r="L102" s="71">
        <v>0</v>
      </c>
      <c r="M102" s="71">
        <v>0</v>
      </c>
      <c r="N102" s="71">
        <v>0</v>
      </c>
      <c r="O102" s="71">
        <v>0</v>
      </c>
      <c r="P102" s="50">
        <v>0</v>
      </c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</row>
    <row r="103" spans="1:29" x14ac:dyDescent="0.25">
      <c r="A103" s="32" t="s">
        <v>69</v>
      </c>
      <c r="B103" s="64" t="s">
        <v>62</v>
      </c>
      <c r="C103" s="33" t="s">
        <v>44</v>
      </c>
      <c r="D103" s="70">
        <v>0</v>
      </c>
      <c r="E103" s="70">
        <v>0</v>
      </c>
      <c r="F103" s="70">
        <v>0</v>
      </c>
      <c r="G103" s="70">
        <v>0</v>
      </c>
      <c r="H103" s="70">
        <v>0</v>
      </c>
      <c r="I103" s="71">
        <v>0</v>
      </c>
      <c r="J103" s="71">
        <v>0</v>
      </c>
      <c r="K103" s="71">
        <v>0</v>
      </c>
      <c r="L103" s="71">
        <v>0</v>
      </c>
      <c r="M103" s="71">
        <v>0</v>
      </c>
      <c r="N103" s="71">
        <v>0</v>
      </c>
      <c r="O103" s="71">
        <v>0</v>
      </c>
      <c r="P103" s="50">
        <v>0</v>
      </c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</row>
    <row r="104" spans="1:29" x14ac:dyDescent="0.25">
      <c r="A104" s="32" t="s">
        <v>70</v>
      </c>
      <c r="B104" s="64" t="s">
        <v>62</v>
      </c>
      <c r="C104" s="33" t="s">
        <v>44</v>
      </c>
      <c r="D104" s="70">
        <v>6.0035999999999992E-2</v>
      </c>
      <c r="E104" s="70">
        <v>0.149397</v>
      </c>
      <c r="F104" s="70">
        <v>0.11524262295081966</v>
      </c>
      <c r="G104" s="70">
        <v>0.13596</v>
      </c>
      <c r="H104" s="70">
        <v>0.16839467213114756</v>
      </c>
      <c r="I104" s="71">
        <v>0.20937420000000001</v>
      </c>
      <c r="J104" s="71">
        <v>0.21984291000000003</v>
      </c>
      <c r="K104" s="71">
        <v>0.2308350555</v>
      </c>
      <c r="L104" s="71">
        <v>0.24237680827500005</v>
      </c>
      <c r="M104" s="71">
        <v>0.25449564868875008</v>
      </c>
      <c r="N104" s="71">
        <v>0.26722043112318761</v>
      </c>
      <c r="O104" s="71">
        <v>0.28058145267934698</v>
      </c>
      <c r="P104" s="50">
        <v>2.3337568013482519</v>
      </c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</row>
    <row r="105" spans="1:29" x14ac:dyDescent="0.25">
      <c r="A105" s="28"/>
      <c r="B105" s="29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</row>
    <row r="106" spans="1:29" x14ac:dyDescent="0.25">
      <c r="C106" s="33"/>
      <c r="G106" s="72"/>
    </row>
    <row r="107" spans="1:29" ht="15.75" x14ac:dyDescent="0.25">
      <c r="A107" s="24" t="s">
        <v>76</v>
      </c>
      <c r="B107" s="24"/>
      <c r="C107" s="3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</row>
    <row r="108" spans="1:29" x14ac:dyDescent="0.25">
      <c r="A108" s="28"/>
      <c r="B108" s="29"/>
      <c r="C108" s="74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</row>
    <row r="109" spans="1:29" x14ac:dyDescent="0.25">
      <c r="A109" s="75" t="s">
        <v>77</v>
      </c>
      <c r="B109" s="17"/>
      <c r="C109" s="76" t="s">
        <v>26</v>
      </c>
      <c r="D109" s="77">
        <v>220976</v>
      </c>
      <c r="E109" s="77">
        <v>449585</v>
      </c>
      <c r="F109" s="77">
        <v>350198</v>
      </c>
      <c r="G109" s="77">
        <v>318400</v>
      </c>
      <c r="H109" s="77">
        <v>348619</v>
      </c>
      <c r="I109" s="78">
        <v>347877.25744680851</v>
      </c>
      <c r="J109" s="78">
        <v>312792.83468085108</v>
      </c>
      <c r="K109" s="78">
        <v>259313.19659574467</v>
      </c>
      <c r="L109" s="78">
        <v>160142.21723404256</v>
      </c>
      <c r="M109" s="78">
        <v>114080.00468085108</v>
      </c>
      <c r="N109" s="78">
        <v>65866.738723404254</v>
      </c>
      <c r="O109" s="78">
        <v>70539.716808510639</v>
      </c>
      <c r="P109" s="44">
        <v>3018389.9661702123</v>
      </c>
    </row>
    <row r="110" spans="1:29" x14ac:dyDescent="0.25">
      <c r="A110" s="61" t="s">
        <v>78</v>
      </c>
      <c r="C110" s="33" t="s">
        <v>28</v>
      </c>
      <c r="D110" s="38">
        <v>0.43089294765042357</v>
      </c>
      <c r="E110" s="38">
        <v>0.65653435946483985</v>
      </c>
      <c r="F110" s="38">
        <v>0.86475365364736523</v>
      </c>
      <c r="G110" s="38">
        <v>0.54237751256281408</v>
      </c>
      <c r="H110" s="54">
        <v>0.4702669676638393</v>
      </c>
      <c r="I110" s="79">
        <v>0.44474594612916513</v>
      </c>
      <c r="J110" s="79">
        <v>0.44683248624478916</v>
      </c>
      <c r="K110" s="79">
        <v>0.44170910506557542</v>
      </c>
      <c r="L110" s="79">
        <v>0.43830415996687599</v>
      </c>
      <c r="M110" s="79">
        <v>0.43813111806778998</v>
      </c>
      <c r="N110" s="79">
        <v>0.43827887275892119</v>
      </c>
      <c r="O110" s="79">
        <v>0.43853309028691484</v>
      </c>
      <c r="P110" s="38"/>
    </row>
    <row r="111" spans="1:29" x14ac:dyDescent="0.25">
      <c r="A111" s="75" t="s">
        <v>79</v>
      </c>
      <c r="B111" s="17"/>
      <c r="C111" s="76" t="s">
        <v>26</v>
      </c>
      <c r="D111" s="80">
        <v>95217</v>
      </c>
      <c r="E111" s="80">
        <v>295168</v>
      </c>
      <c r="F111" s="80">
        <v>302835</v>
      </c>
      <c r="G111" s="80">
        <v>172693</v>
      </c>
      <c r="H111" s="80">
        <v>163944</v>
      </c>
      <c r="I111" s="81">
        <v>154717</v>
      </c>
      <c r="J111" s="81">
        <v>139766</v>
      </c>
      <c r="K111" s="81">
        <v>114541</v>
      </c>
      <c r="L111" s="81">
        <v>70191</v>
      </c>
      <c r="M111" s="81">
        <v>49982</v>
      </c>
      <c r="N111" s="81">
        <v>28868</v>
      </c>
      <c r="O111" s="81">
        <v>30934</v>
      </c>
      <c r="P111" s="44">
        <v>1618856</v>
      </c>
    </row>
    <row r="112" spans="1:29" x14ac:dyDescent="0.25">
      <c r="A112" s="61" t="s">
        <v>80</v>
      </c>
      <c r="C112" s="33" t="s">
        <v>26</v>
      </c>
      <c r="D112" s="34">
        <v>75411</v>
      </c>
      <c r="E112" s="34">
        <v>177555</v>
      </c>
      <c r="F112" s="34">
        <v>203754</v>
      </c>
      <c r="G112" s="34">
        <v>165286</v>
      </c>
      <c r="H112" s="34">
        <v>129371</v>
      </c>
      <c r="I112" s="35">
        <v>124449</v>
      </c>
      <c r="J112" s="35">
        <v>104908</v>
      </c>
      <c r="K112" s="35">
        <v>110154</v>
      </c>
      <c r="L112" s="35">
        <v>93311</v>
      </c>
      <c r="M112" s="35">
        <v>51919</v>
      </c>
      <c r="N112" s="35">
        <v>23561</v>
      </c>
      <c r="O112" s="35">
        <v>21997</v>
      </c>
      <c r="P112" s="44">
        <v>1281676</v>
      </c>
    </row>
    <row r="113" spans="1:16" x14ac:dyDescent="0.25">
      <c r="A113" s="61" t="s">
        <v>81</v>
      </c>
      <c r="C113" s="33" t="s">
        <v>28</v>
      </c>
      <c r="D113" s="54">
        <v>0.34126330461226556</v>
      </c>
      <c r="E113" s="54">
        <v>0.394930880701091</v>
      </c>
      <c r="F113" s="54">
        <v>0.58182513892141019</v>
      </c>
      <c r="G113" s="54">
        <v>0.51911432160804016</v>
      </c>
      <c r="H113" s="54">
        <v>0.37109566604229832</v>
      </c>
      <c r="I113" s="79">
        <v>0.35773824628081252</v>
      </c>
      <c r="J113" s="79">
        <v>0.33539131453263554</v>
      </c>
      <c r="K113" s="79">
        <v>0.42479133899122057</v>
      </c>
      <c r="L113" s="79">
        <v>0.58267583409082602</v>
      </c>
      <c r="M113" s="79">
        <v>0.45511043013408004</v>
      </c>
      <c r="N113" s="79">
        <v>0.35770709855455668</v>
      </c>
      <c r="O113" s="79">
        <v>0.3118385073718648</v>
      </c>
      <c r="P113" s="44"/>
    </row>
    <row r="114" spans="1:16" x14ac:dyDescent="0.25">
      <c r="A114" s="61" t="s">
        <v>82</v>
      </c>
      <c r="C114" s="33" t="s">
        <v>26</v>
      </c>
      <c r="D114" s="34">
        <v>7785</v>
      </c>
      <c r="E114" s="34">
        <v>7679</v>
      </c>
      <c r="F114" s="34">
        <v>8000</v>
      </c>
      <c r="G114" s="34">
        <v>6960</v>
      </c>
      <c r="H114" s="34">
        <v>7249</v>
      </c>
      <c r="I114" s="35">
        <v>6972</v>
      </c>
      <c r="J114" s="35">
        <v>6298</v>
      </c>
      <c r="K114" s="35">
        <v>5456</v>
      </c>
      <c r="L114" s="35">
        <v>3343</v>
      </c>
      <c r="M114" s="35">
        <v>2381</v>
      </c>
      <c r="N114" s="35">
        <v>1375</v>
      </c>
      <c r="O114" s="35">
        <v>1474</v>
      </c>
      <c r="P114" s="44">
        <v>64972</v>
      </c>
    </row>
    <row r="115" spans="1:16" x14ac:dyDescent="0.25">
      <c r="A115" s="61" t="s">
        <v>83</v>
      </c>
      <c r="C115" s="33" t="s">
        <v>28</v>
      </c>
      <c r="D115" s="40">
        <v>3.5230070233871549E-2</v>
      </c>
      <c r="E115" s="40">
        <v>1.7080196180922408E-2</v>
      </c>
      <c r="F115" s="40">
        <v>2.2844219555794149E-2</v>
      </c>
      <c r="G115" s="40">
        <v>2.1859296482412062E-2</v>
      </c>
      <c r="H115" s="40">
        <v>2.0793473677567776E-2</v>
      </c>
      <c r="I115" s="79">
        <v>2.0041551583940609E-2</v>
      </c>
      <c r="J115" s="79">
        <v>2.013473232667231E-2</v>
      </c>
      <c r="K115" s="79">
        <v>2.104019414216551E-2</v>
      </c>
      <c r="L115" s="79">
        <v>2.0875194921988097E-2</v>
      </c>
      <c r="M115" s="79">
        <v>2.087131751669417E-2</v>
      </c>
      <c r="N115" s="79">
        <v>2.0875483235538197E-2</v>
      </c>
      <c r="O115" s="79">
        <v>2.0896029452476643E-2</v>
      </c>
      <c r="P115" s="44"/>
    </row>
    <row r="116" spans="1:16" x14ac:dyDescent="0.25">
      <c r="A116" s="61" t="s">
        <v>84</v>
      </c>
      <c r="C116" s="33" t="s">
        <v>26</v>
      </c>
      <c r="D116" s="40">
        <v>4.1064095697196927E-2</v>
      </c>
      <c r="E116" s="40">
        <v>1.1586621856027754E-2</v>
      </c>
      <c r="F116" s="40">
        <v>1.4027440685521819E-2</v>
      </c>
      <c r="G116" s="40">
        <v>2.5629295918190083E-2</v>
      </c>
      <c r="H116" s="40">
        <v>2.9308788366759382E-2</v>
      </c>
      <c r="I116" s="79">
        <v>3.0313410937388909E-2</v>
      </c>
      <c r="J116" s="79">
        <v>3.0171858678076213E-2</v>
      </c>
      <c r="K116" s="79">
        <v>3.0521821880374712E-2</v>
      </c>
      <c r="L116" s="79">
        <v>3.0758929207448243E-2</v>
      </c>
      <c r="M116" s="79">
        <v>3.0771077587931656E-2</v>
      </c>
      <c r="N116" s="79">
        <v>3.0760703893584592E-2</v>
      </c>
      <c r="O116" s="79">
        <v>3.0742871920863776E-2</v>
      </c>
      <c r="P116" s="44">
        <v>0.33565691662936409</v>
      </c>
    </row>
    <row r="117" spans="1:16" x14ac:dyDescent="0.25">
      <c r="A117" s="61" t="s">
        <v>85</v>
      </c>
      <c r="C117" s="33" t="s">
        <v>28</v>
      </c>
      <c r="D117" s="54">
        <v>1.7694229237564259E-2</v>
      </c>
      <c r="E117" s="54">
        <v>7.6070153586084944E-3</v>
      </c>
      <c r="F117" s="54">
        <v>1.2130280584126693E-2</v>
      </c>
      <c r="G117" s="54">
        <v>1.3900753768844221E-2</v>
      </c>
      <c r="H117" s="54">
        <v>1.3782955031137144E-2</v>
      </c>
      <c r="I117" s="79">
        <v>1.3481766627751213E-2</v>
      </c>
      <c r="J117" s="79">
        <v>1.3481766627751211E-2</v>
      </c>
      <c r="K117" s="79">
        <v>1.3481766627751213E-2</v>
      </c>
      <c r="L117" s="79">
        <v>1.348176662775121E-2</v>
      </c>
      <c r="M117" s="79">
        <v>1.3481766627751211E-2</v>
      </c>
      <c r="N117" s="79">
        <v>1.3481766627751213E-2</v>
      </c>
      <c r="O117" s="79">
        <v>1.3481766627751213E-2</v>
      </c>
      <c r="P117" s="44"/>
    </row>
    <row r="118" spans="1:16" x14ac:dyDescent="0.25">
      <c r="A118" s="75" t="s">
        <v>86</v>
      </c>
      <c r="C118" s="33"/>
      <c r="D118" s="80">
        <v>3910</v>
      </c>
      <c r="E118" s="80">
        <v>3420</v>
      </c>
      <c r="F118" s="80">
        <v>4248</v>
      </c>
      <c r="G118" s="80">
        <v>4426</v>
      </c>
      <c r="H118" s="80">
        <v>4805</v>
      </c>
      <c r="I118" s="82">
        <v>4690</v>
      </c>
      <c r="J118" s="82">
        <v>4217</v>
      </c>
      <c r="K118" s="82">
        <v>3496</v>
      </c>
      <c r="L118" s="82">
        <v>2158.9999999999995</v>
      </c>
      <c r="M118" s="82">
        <v>1538</v>
      </c>
      <c r="N118" s="82">
        <v>888</v>
      </c>
      <c r="O118" s="82">
        <v>951</v>
      </c>
      <c r="P118" s="77">
        <v>38748</v>
      </c>
    </row>
    <row r="119" spans="1:16" x14ac:dyDescent="0.25">
      <c r="A119" s="61" t="s">
        <v>87</v>
      </c>
      <c r="B119" s="83" t="s">
        <v>86</v>
      </c>
      <c r="C119" s="33" t="s">
        <v>26</v>
      </c>
      <c r="D119" s="34">
        <v>3078</v>
      </c>
      <c r="E119" s="34">
        <v>2406</v>
      </c>
      <c r="F119" s="34">
        <v>3105</v>
      </c>
      <c r="G119" s="34">
        <v>3350</v>
      </c>
      <c r="H119" s="34">
        <v>0</v>
      </c>
      <c r="I119" s="35">
        <v>3939.6</v>
      </c>
      <c r="J119" s="35">
        <v>3542.2799999999997</v>
      </c>
      <c r="K119" s="35">
        <v>3111.44</v>
      </c>
      <c r="L119" s="35">
        <v>1943.1</v>
      </c>
      <c r="M119" s="35">
        <v>1430.34</v>
      </c>
      <c r="N119" s="35">
        <v>870.24</v>
      </c>
      <c r="O119" s="35">
        <v>931.98</v>
      </c>
      <c r="P119" s="44">
        <v>27707.98</v>
      </c>
    </row>
    <row r="120" spans="1:16" x14ac:dyDescent="0.25">
      <c r="A120" s="61" t="s">
        <v>88</v>
      </c>
      <c r="B120" s="83" t="s">
        <v>86</v>
      </c>
      <c r="C120" s="33" t="s">
        <v>26</v>
      </c>
      <c r="D120" s="34">
        <v>672</v>
      </c>
      <c r="E120" s="34">
        <v>585</v>
      </c>
      <c r="F120" s="34">
        <v>880</v>
      </c>
      <c r="G120" s="34">
        <v>839</v>
      </c>
      <c r="H120" s="34">
        <v>0</v>
      </c>
      <c r="I120" s="35">
        <v>703.5</v>
      </c>
      <c r="J120" s="35">
        <v>632.54999999999995</v>
      </c>
      <c r="K120" s="35">
        <v>349.6</v>
      </c>
      <c r="L120" s="35">
        <v>172.72</v>
      </c>
      <c r="M120" s="35">
        <v>76.900000000000006</v>
      </c>
      <c r="N120" s="35">
        <v>0</v>
      </c>
      <c r="O120" s="35">
        <v>0</v>
      </c>
      <c r="P120" s="44">
        <v>4911.2700000000004</v>
      </c>
    </row>
    <row r="121" spans="1:16" x14ac:dyDescent="0.25">
      <c r="A121" s="61" t="s">
        <v>89</v>
      </c>
      <c r="B121" s="83" t="s">
        <v>86</v>
      </c>
      <c r="C121" s="33" t="s">
        <v>26</v>
      </c>
      <c r="D121" s="34">
        <v>160</v>
      </c>
      <c r="E121" s="34">
        <v>429</v>
      </c>
      <c r="F121" s="34">
        <v>263</v>
      </c>
      <c r="G121" s="34">
        <v>237</v>
      </c>
      <c r="H121" s="34">
        <v>0</v>
      </c>
      <c r="I121" s="35">
        <v>46.9</v>
      </c>
      <c r="J121" s="35">
        <v>42.17</v>
      </c>
      <c r="K121" s="35">
        <v>34.96</v>
      </c>
      <c r="L121" s="35">
        <v>43.18</v>
      </c>
      <c r="M121" s="35">
        <v>30.76</v>
      </c>
      <c r="N121" s="35">
        <v>17.760000000000002</v>
      </c>
      <c r="O121" s="35">
        <v>19.02</v>
      </c>
      <c r="P121" s="44">
        <v>1323.7500000000002</v>
      </c>
    </row>
    <row r="122" spans="1:16" x14ac:dyDescent="0.25">
      <c r="A122" s="84" t="s">
        <v>90</v>
      </c>
      <c r="B122" s="83"/>
      <c r="C122" s="85"/>
      <c r="D122" s="86"/>
      <c r="E122" s="86"/>
      <c r="F122" s="86"/>
      <c r="G122" s="86"/>
      <c r="H122" s="86"/>
      <c r="I122" s="46"/>
      <c r="J122" s="46"/>
      <c r="K122" s="46"/>
      <c r="L122" s="46"/>
      <c r="M122" s="46"/>
      <c r="N122" s="46"/>
      <c r="O122" s="46"/>
      <c r="P122" s="87"/>
    </row>
    <row r="123" spans="1:16" x14ac:dyDescent="0.25">
      <c r="A123" s="47" t="s">
        <v>91</v>
      </c>
      <c r="B123" s="83" t="s">
        <v>90</v>
      </c>
      <c r="C123" s="88" t="s">
        <v>26</v>
      </c>
      <c r="D123" s="34">
        <v>201</v>
      </c>
      <c r="E123" s="34">
        <v>121</v>
      </c>
      <c r="F123" s="34">
        <v>283</v>
      </c>
      <c r="G123" s="34">
        <v>261</v>
      </c>
      <c r="H123" s="34">
        <v>240.25</v>
      </c>
      <c r="I123" s="35">
        <v>234.5</v>
      </c>
      <c r="J123" s="35">
        <v>210.85</v>
      </c>
      <c r="K123" s="35">
        <v>174.8</v>
      </c>
      <c r="L123" s="35">
        <v>107.95</v>
      </c>
      <c r="M123" s="35">
        <v>76.900000000000006</v>
      </c>
      <c r="N123" s="35">
        <v>44.400000000000006</v>
      </c>
      <c r="O123" s="35">
        <v>47.55</v>
      </c>
      <c r="P123" s="44">
        <v>2003.2</v>
      </c>
    </row>
    <row r="124" spans="1:16" x14ac:dyDescent="0.25">
      <c r="A124" s="47" t="s">
        <v>91</v>
      </c>
      <c r="B124" s="83" t="s">
        <v>90</v>
      </c>
      <c r="C124" s="88" t="s">
        <v>28</v>
      </c>
      <c r="D124" s="54">
        <v>5.1406649616368288E-2</v>
      </c>
      <c r="E124" s="54">
        <v>3.5380116959064324E-2</v>
      </c>
      <c r="F124" s="54">
        <v>6.6619585687382299E-2</v>
      </c>
      <c r="G124" s="54">
        <v>0.05</v>
      </c>
      <c r="H124" s="54">
        <v>0.05</v>
      </c>
      <c r="I124" s="55">
        <v>0.05</v>
      </c>
      <c r="J124" s="55">
        <v>0.05</v>
      </c>
      <c r="K124" s="55">
        <v>0.05</v>
      </c>
      <c r="L124" s="55">
        <v>0.05</v>
      </c>
      <c r="M124" s="55">
        <v>0.05</v>
      </c>
      <c r="N124" s="55">
        <v>0.05</v>
      </c>
      <c r="O124" s="55">
        <v>0.05</v>
      </c>
      <c r="P124" s="38">
        <v>5.028386268856791E-2</v>
      </c>
    </row>
    <row r="125" spans="1:16" x14ac:dyDescent="0.25">
      <c r="A125" s="28" t="s">
        <v>31</v>
      </c>
      <c r="B125" s="29"/>
      <c r="C125" s="74"/>
      <c r="D125" s="43">
        <v>5405</v>
      </c>
      <c r="E125" s="43">
        <v>4634</v>
      </c>
      <c r="F125" s="43">
        <v>5666</v>
      </c>
      <c r="G125" s="43">
        <v>6166</v>
      </c>
      <c r="H125" s="43">
        <v>6331</v>
      </c>
      <c r="I125" s="43">
        <v>6214.6554999999998</v>
      </c>
      <c r="J125" s="43">
        <v>5590.6304026191847</v>
      </c>
      <c r="K125" s="43">
        <v>4579.5608858445266</v>
      </c>
      <c r="L125" s="43">
        <v>2702.7560614380232</v>
      </c>
      <c r="M125" s="43">
        <v>1849.4310980740909</v>
      </c>
      <c r="N125" s="43">
        <v>942.03395689658805</v>
      </c>
      <c r="O125" s="43">
        <v>1041.4005801471808</v>
      </c>
      <c r="P125" s="89">
        <v>51122.468485019592</v>
      </c>
    </row>
    <row r="126" spans="1:16" x14ac:dyDescent="0.25">
      <c r="A126" s="32" t="s">
        <v>92</v>
      </c>
      <c r="B126" s="64" t="s">
        <v>31</v>
      </c>
      <c r="C126" s="33" t="s">
        <v>26</v>
      </c>
      <c r="D126" s="34">
        <v>493</v>
      </c>
      <c r="E126" s="34">
        <v>414</v>
      </c>
      <c r="F126" s="34">
        <v>587</v>
      </c>
      <c r="G126" s="34">
        <v>1091</v>
      </c>
      <c r="H126" s="34">
        <v>1044</v>
      </c>
      <c r="I126" s="35">
        <v>999.52834748327837</v>
      </c>
      <c r="J126" s="35">
        <v>875.51084935575045</v>
      </c>
      <c r="K126" s="35">
        <v>690.62923307865481</v>
      </c>
      <c r="L126" s="35">
        <v>346.57381656972683</v>
      </c>
      <c r="M126" s="35">
        <v>198.49684796633903</v>
      </c>
      <c r="N126" s="35">
        <v>34.439624666416897</v>
      </c>
      <c r="O126" s="35">
        <v>57.618620377065746</v>
      </c>
      <c r="P126" s="36">
        <v>6831.7973394972323</v>
      </c>
    </row>
    <row r="127" spans="1:16" x14ac:dyDescent="0.25">
      <c r="A127" s="32" t="s">
        <v>93</v>
      </c>
      <c r="B127" s="64" t="s">
        <v>31</v>
      </c>
      <c r="C127" s="33" t="s">
        <v>26</v>
      </c>
      <c r="D127" s="34">
        <v>974</v>
      </c>
      <c r="E127" s="34">
        <v>786</v>
      </c>
      <c r="F127" s="34">
        <v>831</v>
      </c>
      <c r="G127" s="34">
        <v>649</v>
      </c>
      <c r="H127" s="34">
        <v>482</v>
      </c>
      <c r="I127" s="35">
        <v>525.12715251672171</v>
      </c>
      <c r="J127" s="35">
        <v>498.119553263434</v>
      </c>
      <c r="K127" s="35">
        <v>392.93165276587223</v>
      </c>
      <c r="L127" s="35">
        <v>197.18224486829632</v>
      </c>
      <c r="M127" s="35">
        <v>112.93425010775188</v>
      </c>
      <c r="N127" s="35">
        <v>19.594332230171187</v>
      </c>
      <c r="O127" s="35">
        <v>32.781959770114959</v>
      </c>
      <c r="P127" s="36">
        <v>5500.6711455223603</v>
      </c>
    </row>
    <row r="128" spans="1:16" x14ac:dyDescent="0.25">
      <c r="A128" s="32" t="s">
        <v>94</v>
      </c>
      <c r="B128" s="64" t="s">
        <v>31</v>
      </c>
      <c r="C128" s="33" t="s">
        <v>26</v>
      </c>
      <c r="D128" s="34">
        <v>3910</v>
      </c>
      <c r="E128" s="34">
        <v>3420</v>
      </c>
      <c r="F128" s="34">
        <v>4248</v>
      </c>
      <c r="G128" s="34">
        <v>4426</v>
      </c>
      <c r="H128" s="34">
        <v>4805</v>
      </c>
      <c r="I128" s="35">
        <v>4690</v>
      </c>
      <c r="J128" s="35">
        <v>4217</v>
      </c>
      <c r="K128" s="35">
        <v>3496</v>
      </c>
      <c r="L128" s="35">
        <v>2159</v>
      </c>
      <c r="M128" s="35">
        <v>1538</v>
      </c>
      <c r="N128" s="35">
        <v>888</v>
      </c>
      <c r="O128" s="35">
        <v>951</v>
      </c>
      <c r="P128" s="36">
        <v>38748</v>
      </c>
    </row>
    <row r="129" spans="1:16" x14ac:dyDescent="0.25">
      <c r="A129" s="32" t="s">
        <v>95</v>
      </c>
      <c r="B129" s="64" t="s">
        <v>31</v>
      </c>
      <c r="C129" s="33" t="s">
        <v>26</v>
      </c>
      <c r="D129" s="34">
        <v>28</v>
      </c>
      <c r="E129" s="34">
        <v>14</v>
      </c>
      <c r="F129" s="34">
        <v>0</v>
      </c>
      <c r="G129" s="34">
        <v>0</v>
      </c>
      <c r="H129" s="34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6">
        <v>42</v>
      </c>
    </row>
    <row r="130" spans="1:16" x14ac:dyDescent="0.25">
      <c r="A130" s="32" t="s">
        <v>96</v>
      </c>
      <c r="B130" s="64" t="s">
        <v>31</v>
      </c>
      <c r="C130" s="33" t="s">
        <v>26</v>
      </c>
      <c r="D130" s="34">
        <v>0</v>
      </c>
      <c r="E130" s="34">
        <v>0</v>
      </c>
      <c r="F130" s="34">
        <v>0</v>
      </c>
      <c r="G130" s="34">
        <v>0</v>
      </c>
      <c r="H130" s="34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6">
        <v>0</v>
      </c>
    </row>
    <row r="131" spans="1:16" x14ac:dyDescent="0.25">
      <c r="A131" s="28" t="s">
        <v>97</v>
      </c>
      <c r="B131" s="29"/>
      <c r="C131" s="74"/>
      <c r="D131" s="31">
        <v>-132</v>
      </c>
      <c r="E131" s="31">
        <v>-114</v>
      </c>
      <c r="F131" s="31">
        <v>-128</v>
      </c>
      <c r="G131" s="31">
        <v>-113</v>
      </c>
      <c r="H131" s="31">
        <v>-85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-572</v>
      </c>
    </row>
    <row r="132" spans="1:16" x14ac:dyDescent="0.25">
      <c r="A132" s="32" t="s">
        <v>92</v>
      </c>
      <c r="B132" s="64" t="s">
        <v>97</v>
      </c>
      <c r="C132" s="33" t="s">
        <v>26</v>
      </c>
      <c r="D132" s="34">
        <v>-69</v>
      </c>
      <c r="E132" s="34">
        <v>-67</v>
      </c>
      <c r="F132" s="34">
        <v>-64</v>
      </c>
      <c r="G132" s="34">
        <v>-81</v>
      </c>
      <c r="H132" s="34">
        <v>-72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36">
        <v>-353</v>
      </c>
    </row>
    <row r="133" spans="1:16" x14ac:dyDescent="0.25">
      <c r="A133" s="32" t="s">
        <v>93</v>
      </c>
      <c r="B133" s="64" t="s">
        <v>97</v>
      </c>
      <c r="C133" s="33" t="s">
        <v>26</v>
      </c>
      <c r="D133" s="34">
        <v>-63</v>
      </c>
      <c r="E133" s="34">
        <v>-47</v>
      </c>
      <c r="F133" s="34">
        <v>-64</v>
      </c>
      <c r="G133" s="34">
        <v>-32</v>
      </c>
      <c r="H133" s="34">
        <v>-13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36">
        <v>-219</v>
      </c>
    </row>
    <row r="134" spans="1:16" x14ac:dyDescent="0.25">
      <c r="A134" s="32" t="s">
        <v>94</v>
      </c>
      <c r="B134" s="64" t="s">
        <v>97</v>
      </c>
      <c r="C134" s="33" t="s">
        <v>26</v>
      </c>
      <c r="D134" s="34">
        <v>0</v>
      </c>
      <c r="E134" s="34">
        <v>0</v>
      </c>
      <c r="F134" s="34">
        <v>0</v>
      </c>
      <c r="G134" s="34">
        <v>0</v>
      </c>
      <c r="H134" s="34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36">
        <v>0</v>
      </c>
    </row>
    <row r="135" spans="1:16" x14ac:dyDescent="0.25">
      <c r="A135" s="32" t="s">
        <v>98</v>
      </c>
      <c r="B135" s="64" t="s">
        <v>97</v>
      </c>
      <c r="C135" s="33" t="s">
        <v>26</v>
      </c>
      <c r="D135" s="34">
        <v>0</v>
      </c>
      <c r="E135" s="34">
        <v>0</v>
      </c>
      <c r="F135" s="34">
        <v>0</v>
      </c>
      <c r="G135" s="34">
        <v>0</v>
      </c>
      <c r="H135" s="34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36">
        <v>0</v>
      </c>
    </row>
    <row r="136" spans="1:16" hidden="1" x14ac:dyDescent="0.25">
      <c r="A136" s="32" t="s">
        <v>99</v>
      </c>
      <c r="B136" s="64" t="s">
        <v>97</v>
      </c>
      <c r="C136" s="33" t="s">
        <v>26</v>
      </c>
      <c r="D136" s="34">
        <v>0</v>
      </c>
      <c r="E136" s="34">
        <v>0</v>
      </c>
      <c r="F136" s="34">
        <v>0</v>
      </c>
      <c r="G136" s="34">
        <v>0</v>
      </c>
      <c r="H136" s="34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36">
        <v>0</v>
      </c>
    </row>
    <row r="137" spans="1:16" hidden="1" x14ac:dyDescent="0.25">
      <c r="A137" s="32" t="s">
        <v>100</v>
      </c>
      <c r="B137" s="64" t="s">
        <v>97</v>
      </c>
      <c r="C137" s="33" t="s">
        <v>26</v>
      </c>
      <c r="D137" s="34">
        <v>0</v>
      </c>
      <c r="E137" s="34">
        <v>0</v>
      </c>
      <c r="F137" s="34">
        <v>0</v>
      </c>
      <c r="G137" s="34">
        <v>0</v>
      </c>
      <c r="H137" s="34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36">
        <v>0</v>
      </c>
    </row>
    <row r="138" spans="1:16" hidden="1" x14ac:dyDescent="0.25">
      <c r="A138" s="32" t="s">
        <v>96</v>
      </c>
      <c r="B138" s="64" t="s">
        <v>97</v>
      </c>
      <c r="C138" s="33" t="s">
        <v>26</v>
      </c>
      <c r="D138" s="34">
        <v>0</v>
      </c>
      <c r="E138" s="34">
        <v>0</v>
      </c>
      <c r="F138" s="34">
        <v>0</v>
      </c>
      <c r="G138" s="34">
        <v>0</v>
      </c>
      <c r="H138" s="34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36">
        <v>0</v>
      </c>
    </row>
    <row r="139" spans="1:16" x14ac:dyDescent="0.25">
      <c r="A139" s="28" t="s">
        <v>101</v>
      </c>
      <c r="B139" s="29"/>
      <c r="C139" s="74"/>
      <c r="D139" s="91">
        <v>0.37519181585677752</v>
      </c>
      <c r="E139" s="91">
        <v>0.35087719298245612</v>
      </c>
      <c r="F139" s="91">
        <v>0.33380414312617701</v>
      </c>
      <c r="G139" s="91">
        <v>0.39313149570718481</v>
      </c>
      <c r="H139" s="91">
        <v>0.31758584807492196</v>
      </c>
      <c r="I139" s="92">
        <v>0.32508646055437096</v>
      </c>
      <c r="J139" s="92">
        <v>0.32573640090566386</v>
      </c>
      <c r="K139" s="92">
        <v>0.30994304515003634</v>
      </c>
      <c r="L139" s="92">
        <v>0.2518555171088574</v>
      </c>
      <c r="M139" s="92">
        <v>0.20249096103647007</v>
      </c>
      <c r="N139" s="92">
        <v>6.0849050559220817E-2</v>
      </c>
      <c r="O139" s="91">
        <v>9.5058443898192124E-2</v>
      </c>
      <c r="P139" s="91">
        <v>0.27846753124669416</v>
      </c>
    </row>
    <row r="140" spans="1:16" x14ac:dyDescent="0.25">
      <c r="A140" s="32" t="s">
        <v>92</v>
      </c>
      <c r="B140" s="64" t="s">
        <v>101</v>
      </c>
      <c r="C140" s="33" t="s">
        <v>28</v>
      </c>
      <c r="D140" s="38">
        <v>0.12608695652173912</v>
      </c>
      <c r="E140" s="38">
        <v>0.12105263157894736</v>
      </c>
      <c r="F140" s="38">
        <v>0.13818267419962335</v>
      </c>
      <c r="G140" s="38">
        <v>0.2464979665612291</v>
      </c>
      <c r="H140" s="38">
        <v>0.21727367325702393</v>
      </c>
      <c r="I140" s="39">
        <v>0.21311905063609343</v>
      </c>
      <c r="J140" s="39">
        <v>0.20761461924490168</v>
      </c>
      <c r="K140" s="39">
        <v>0.19754840763119416</v>
      </c>
      <c r="L140" s="39">
        <v>0.16052515820737695</v>
      </c>
      <c r="M140" s="39">
        <v>0.1290616696790241</v>
      </c>
      <c r="N140" s="39">
        <v>3.8783361110829841E-2</v>
      </c>
      <c r="O140" s="39">
        <v>6.0587403130458198E-2</v>
      </c>
      <c r="P140" s="38">
        <v>0.15469446431320347</v>
      </c>
    </row>
    <row r="141" spans="1:16" x14ac:dyDescent="0.25">
      <c r="A141" s="32" t="s">
        <v>93</v>
      </c>
      <c r="B141" s="64" t="s">
        <v>101</v>
      </c>
      <c r="C141" s="33" t="s">
        <v>28</v>
      </c>
      <c r="D141" s="38">
        <v>0.24910485933503837</v>
      </c>
      <c r="E141" s="38">
        <v>0.22982456140350876</v>
      </c>
      <c r="F141" s="38">
        <v>0.19562146892655369</v>
      </c>
      <c r="G141" s="38">
        <v>0.1466335291459557</v>
      </c>
      <c r="H141" s="38">
        <v>0.10031217481789802</v>
      </c>
      <c r="I141" s="39">
        <v>0.11196740991827756</v>
      </c>
      <c r="J141" s="39">
        <v>0.11812178166076216</v>
      </c>
      <c r="K141" s="39">
        <v>0.11239463751884216</v>
      </c>
      <c r="L141" s="39">
        <v>9.133035890148046E-2</v>
      </c>
      <c r="M141" s="39">
        <v>7.3429291357445969E-2</v>
      </c>
      <c r="N141" s="39">
        <v>2.2065689448390977E-2</v>
      </c>
      <c r="O141" s="39">
        <v>3.447104076773392E-2</v>
      </c>
      <c r="P141" s="38">
        <v>0.12377306693349067</v>
      </c>
    </row>
    <row r="142" spans="1:16" x14ac:dyDescent="0.25">
      <c r="A142" s="32" t="s">
        <v>98</v>
      </c>
      <c r="B142" s="64" t="s">
        <v>101</v>
      </c>
      <c r="C142" s="33" t="s">
        <v>28</v>
      </c>
      <c r="D142" s="38">
        <v>0</v>
      </c>
      <c r="E142" s="38">
        <v>0</v>
      </c>
      <c r="F142" s="38">
        <v>0</v>
      </c>
      <c r="G142" s="38">
        <v>0</v>
      </c>
      <c r="H142" s="38">
        <v>0</v>
      </c>
      <c r="I142" s="39">
        <v>0</v>
      </c>
      <c r="J142" s="39">
        <v>0</v>
      </c>
      <c r="K142" s="39">
        <v>0</v>
      </c>
      <c r="L142" s="39">
        <v>0</v>
      </c>
      <c r="M142" s="39">
        <v>0</v>
      </c>
      <c r="N142" s="39">
        <v>0</v>
      </c>
      <c r="O142" s="39">
        <v>0</v>
      </c>
      <c r="P142" s="38">
        <v>0</v>
      </c>
    </row>
    <row r="143" spans="1:16" hidden="1" x14ac:dyDescent="0.25">
      <c r="A143" s="32" t="s">
        <v>99</v>
      </c>
      <c r="B143" s="64" t="s">
        <v>101</v>
      </c>
      <c r="C143" s="33" t="s">
        <v>28</v>
      </c>
      <c r="D143" s="38">
        <v>0</v>
      </c>
      <c r="E143" s="38">
        <v>0</v>
      </c>
      <c r="F143" s="38">
        <v>0</v>
      </c>
      <c r="G143" s="38">
        <v>0</v>
      </c>
      <c r="H143" s="38">
        <v>0</v>
      </c>
      <c r="I143" s="39">
        <v>0</v>
      </c>
      <c r="J143" s="39">
        <v>0</v>
      </c>
      <c r="K143" s="39">
        <v>0</v>
      </c>
      <c r="L143" s="39">
        <v>0</v>
      </c>
      <c r="M143" s="39">
        <v>0</v>
      </c>
      <c r="N143" s="39">
        <v>0</v>
      </c>
      <c r="O143" s="39">
        <v>0</v>
      </c>
      <c r="P143" s="38">
        <v>0</v>
      </c>
    </row>
    <row r="144" spans="1:16" hidden="1" x14ac:dyDescent="0.25">
      <c r="A144" s="32" t="s">
        <v>100</v>
      </c>
      <c r="B144" s="64" t="s">
        <v>101</v>
      </c>
      <c r="C144" s="33" t="s">
        <v>28</v>
      </c>
      <c r="D144" s="38">
        <v>0</v>
      </c>
      <c r="E144" s="38">
        <v>0</v>
      </c>
      <c r="F144" s="38">
        <v>0</v>
      </c>
      <c r="G144" s="38">
        <v>0</v>
      </c>
      <c r="H144" s="38">
        <v>0</v>
      </c>
      <c r="I144" s="39">
        <v>0</v>
      </c>
      <c r="J144" s="39">
        <v>0</v>
      </c>
      <c r="K144" s="39">
        <v>0</v>
      </c>
      <c r="L144" s="39">
        <v>0</v>
      </c>
      <c r="M144" s="39">
        <v>0</v>
      </c>
      <c r="N144" s="39">
        <v>0</v>
      </c>
      <c r="O144" s="39">
        <v>0</v>
      </c>
      <c r="P144" s="38">
        <v>0</v>
      </c>
    </row>
    <row r="145" spans="1:16" hidden="1" x14ac:dyDescent="0.25">
      <c r="A145" s="32" t="s">
        <v>96</v>
      </c>
      <c r="B145" s="64" t="s">
        <v>101</v>
      </c>
      <c r="C145" s="33" t="s">
        <v>28</v>
      </c>
      <c r="D145" s="38">
        <v>0</v>
      </c>
      <c r="E145" s="38">
        <v>0</v>
      </c>
      <c r="F145" s="38">
        <v>0</v>
      </c>
      <c r="G145" s="38">
        <v>0</v>
      </c>
      <c r="H145" s="38">
        <v>0</v>
      </c>
      <c r="I145" s="39">
        <v>0</v>
      </c>
      <c r="J145" s="39">
        <v>0</v>
      </c>
      <c r="K145" s="39">
        <v>0</v>
      </c>
      <c r="L145" s="39">
        <v>0</v>
      </c>
      <c r="M145" s="39">
        <v>0</v>
      </c>
      <c r="N145" s="39">
        <v>0</v>
      </c>
      <c r="O145" s="39">
        <v>0</v>
      </c>
      <c r="P145" s="38">
        <v>0</v>
      </c>
    </row>
    <row r="146" spans="1:16" x14ac:dyDescent="0.25">
      <c r="A146" s="28" t="s">
        <v>42</v>
      </c>
      <c r="B146" s="29"/>
      <c r="C146" s="74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</row>
    <row r="147" spans="1:16" x14ac:dyDescent="0.25">
      <c r="A147" s="32" t="s">
        <v>92</v>
      </c>
      <c r="B147" s="64" t="s">
        <v>42</v>
      </c>
      <c r="C147" s="33" t="s">
        <v>44</v>
      </c>
      <c r="D147" s="93">
        <v>5.3188553752535499E-2</v>
      </c>
      <c r="E147" s="93">
        <v>5.028329468599034E-2</v>
      </c>
      <c r="F147" s="93">
        <v>4.7583047700170349E-2</v>
      </c>
      <c r="G147" s="93">
        <v>4.3017582034830429E-2</v>
      </c>
      <c r="H147" s="94">
        <v>4.320381513409962E-2</v>
      </c>
      <c r="I147" s="95">
        <v>4.3933973394495417E-2</v>
      </c>
      <c r="J147" s="96">
        <v>4.992617195553585E-2</v>
      </c>
      <c r="K147" s="96">
        <v>4.992617195553585E-2</v>
      </c>
      <c r="L147" s="96">
        <v>4.992617195553585E-2</v>
      </c>
      <c r="M147" s="96">
        <v>4.992617195553585E-2</v>
      </c>
      <c r="N147" s="96">
        <v>4.992617195553585E-2</v>
      </c>
      <c r="O147" s="96">
        <v>4.992617195553585E-2</v>
      </c>
      <c r="P147" s="36">
        <v>4.8397274869611394E-2</v>
      </c>
    </row>
    <row r="148" spans="1:16" x14ac:dyDescent="0.25">
      <c r="A148" s="32" t="s">
        <v>93</v>
      </c>
      <c r="B148" s="64" t="s">
        <v>42</v>
      </c>
      <c r="C148" s="33" t="s">
        <v>44</v>
      </c>
      <c r="D148" s="93">
        <v>4.4750104722792609E-2</v>
      </c>
      <c r="E148" s="93">
        <v>4.1918131043256993E-2</v>
      </c>
      <c r="F148" s="93">
        <v>4.0414427196149218E-2</v>
      </c>
      <c r="G148" s="93">
        <v>3.9460154083204926E-2</v>
      </c>
      <c r="H148" s="94">
        <v>4.1485244813278019E-2</v>
      </c>
      <c r="I148" s="95">
        <v>0.04</v>
      </c>
      <c r="J148" s="96">
        <v>0.04</v>
      </c>
      <c r="K148" s="96">
        <v>0.04</v>
      </c>
      <c r="L148" s="96">
        <v>0.04</v>
      </c>
      <c r="M148" s="96">
        <v>0.04</v>
      </c>
      <c r="N148" s="96">
        <v>0.04</v>
      </c>
      <c r="O148" s="96">
        <v>0.04</v>
      </c>
      <c r="P148" s="36">
        <v>4.0669005154890144E-2</v>
      </c>
    </row>
    <row r="149" spans="1:16" x14ac:dyDescent="0.25">
      <c r="A149" s="32" t="s">
        <v>94</v>
      </c>
      <c r="B149" s="64" t="s">
        <v>42</v>
      </c>
      <c r="C149" s="33" t="s">
        <v>44</v>
      </c>
      <c r="D149" s="93">
        <v>1.0709840408184139</v>
      </c>
      <c r="E149" s="93">
        <v>1.1037372263157894</v>
      </c>
      <c r="F149" s="93">
        <v>1.1102845816854992</v>
      </c>
      <c r="G149" s="93">
        <v>1.1091008486217804</v>
      </c>
      <c r="H149" s="93">
        <v>1.118719016024974</v>
      </c>
      <c r="I149" s="96">
        <v>1.085</v>
      </c>
      <c r="J149" s="96">
        <v>1.0740000000000001</v>
      </c>
      <c r="K149" s="96">
        <v>1.0640000000000001</v>
      </c>
      <c r="L149" s="96">
        <v>1.0445</v>
      </c>
      <c r="M149" s="96">
        <v>1.0289999999999999</v>
      </c>
      <c r="N149" s="96">
        <v>0.96185652466565597</v>
      </c>
      <c r="O149" s="96">
        <v>0.96185957940228561</v>
      </c>
      <c r="P149" s="36">
        <v>1.0610868181278665</v>
      </c>
    </row>
    <row r="150" spans="1:16" hidden="1" x14ac:dyDescent="0.25">
      <c r="A150" s="32" t="s">
        <v>98</v>
      </c>
      <c r="B150" s="64" t="s">
        <v>42</v>
      </c>
      <c r="C150" s="33" t="s">
        <v>44</v>
      </c>
      <c r="D150" s="93">
        <v>0</v>
      </c>
      <c r="E150" s="93">
        <v>0</v>
      </c>
      <c r="F150" s="93">
        <v>0</v>
      </c>
      <c r="G150" s="93">
        <v>0</v>
      </c>
      <c r="H150" s="93">
        <v>0</v>
      </c>
      <c r="I150" s="96">
        <v>6.1000000000000004E-3</v>
      </c>
      <c r="J150" s="96">
        <v>6.1000000000000004E-3</v>
      </c>
      <c r="K150" s="96">
        <v>6.1000000000000004E-3</v>
      </c>
      <c r="L150" s="96">
        <v>6.1000000000000004E-3</v>
      </c>
      <c r="M150" s="96">
        <v>6.1000000000000004E-3</v>
      </c>
      <c r="N150" s="96">
        <v>6.1000000000000004E-3</v>
      </c>
      <c r="O150" s="96">
        <v>6.1000000000000004E-3</v>
      </c>
      <c r="P150" s="36">
        <v>3.5583333333333335E-3</v>
      </c>
    </row>
    <row r="151" spans="1:16" hidden="1" x14ac:dyDescent="0.25">
      <c r="A151" s="32" t="s">
        <v>99</v>
      </c>
      <c r="B151" s="64" t="s">
        <v>42</v>
      </c>
      <c r="C151" s="33" t="s">
        <v>44</v>
      </c>
      <c r="D151" s="93">
        <v>0</v>
      </c>
      <c r="E151" s="93">
        <v>0</v>
      </c>
      <c r="F151" s="93">
        <v>0</v>
      </c>
      <c r="G151" s="93">
        <v>0</v>
      </c>
      <c r="H151" s="93">
        <v>0</v>
      </c>
      <c r="I151" s="96">
        <v>1.02975015E-2</v>
      </c>
      <c r="J151" s="96">
        <v>1.02975015E-2</v>
      </c>
      <c r="K151" s="96">
        <v>1.02975015E-2</v>
      </c>
      <c r="L151" s="96">
        <v>1.02975015E-2</v>
      </c>
      <c r="M151" s="96">
        <v>1.02975015E-2</v>
      </c>
      <c r="N151" s="96">
        <v>1.02975015E-2</v>
      </c>
      <c r="O151" s="96">
        <v>1.02975015E-2</v>
      </c>
      <c r="P151" s="36">
        <v>6.0068758750000005E-3</v>
      </c>
    </row>
    <row r="152" spans="1:16" hidden="1" x14ac:dyDescent="0.25">
      <c r="A152" s="32" t="s">
        <v>100</v>
      </c>
      <c r="B152" s="64" t="s">
        <v>42</v>
      </c>
      <c r="C152" s="33" t="s">
        <v>44</v>
      </c>
      <c r="D152" s="93">
        <v>5.3379274999999999E-3</v>
      </c>
      <c r="E152" s="93">
        <v>1.1392160714285714E-2</v>
      </c>
      <c r="F152" s="93">
        <v>0</v>
      </c>
      <c r="G152" s="93">
        <v>0</v>
      </c>
      <c r="H152" s="93">
        <v>0</v>
      </c>
      <c r="I152" s="96">
        <v>1.8602587642901031E-2</v>
      </c>
      <c r="J152" s="96">
        <v>1.8602587642901031E-2</v>
      </c>
      <c r="K152" s="96">
        <v>1.8602587642901031E-2</v>
      </c>
      <c r="L152" s="96">
        <v>1.8602587642901031E-2</v>
      </c>
      <c r="M152" s="96">
        <v>1.8602587642901031E-2</v>
      </c>
      <c r="N152" s="96">
        <v>1.8602587642901031E-2</v>
      </c>
      <c r="O152" s="96">
        <v>1.8602587642901031E-2</v>
      </c>
      <c r="P152" s="36">
        <v>1.2245683476216079E-2</v>
      </c>
    </row>
    <row r="153" spans="1:16" hidden="1" outlineLevel="1" x14ac:dyDescent="0.25">
      <c r="A153" s="28" t="s">
        <v>75</v>
      </c>
      <c r="B153" s="29"/>
      <c r="C153" s="74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</row>
    <row r="154" spans="1:16" hidden="1" outlineLevel="1" x14ac:dyDescent="0.25">
      <c r="A154" s="32" t="s">
        <v>92</v>
      </c>
      <c r="B154" s="64" t="s">
        <v>75</v>
      </c>
      <c r="C154" s="33" t="s">
        <v>102</v>
      </c>
      <c r="D154" s="93">
        <v>3.7374568533235751E-2</v>
      </c>
      <c r="E154" s="93">
        <v>3.5876458858002683E-2</v>
      </c>
      <c r="F154" s="93">
        <v>3.3854798908034736E-2</v>
      </c>
      <c r="G154" s="93">
        <v>2.8212255495785189E-2</v>
      </c>
      <c r="H154" s="93">
        <v>2.8326940675836944E-2</v>
      </c>
      <c r="I154" s="96">
        <v>2.880916288163634E-2</v>
      </c>
      <c r="J154" s="96">
        <v>3.2738473413466133E-2</v>
      </c>
      <c r="K154" s="96">
        <v>3.2738473413466126E-2</v>
      </c>
      <c r="L154" s="95">
        <v>3.2738473413466133E-2</v>
      </c>
      <c r="M154" s="96">
        <v>3.2738473413466133E-2</v>
      </c>
      <c r="N154" s="96">
        <v>3.2738473413466133E-2</v>
      </c>
      <c r="O154" s="96">
        <v>3.2738473413466133E-2</v>
      </c>
      <c r="P154" s="36">
        <v>3.2407085486110702E-2</v>
      </c>
    </row>
    <row r="155" spans="1:16" hidden="1" outlineLevel="1" x14ac:dyDescent="0.25">
      <c r="A155" s="32" t="s">
        <v>93</v>
      </c>
      <c r="B155" s="64" t="s">
        <v>75</v>
      </c>
      <c r="C155" s="33" t="s">
        <v>102</v>
      </c>
      <c r="D155" s="93">
        <v>2.6500421045544811E-2</v>
      </c>
      <c r="E155" s="93">
        <v>2.5765763577774992E-2</v>
      </c>
      <c r="F155" s="93">
        <v>2.4844934751731079E-2</v>
      </c>
      <c r="G155" s="93">
        <v>2.4258291444593193E-2</v>
      </c>
      <c r="H155" s="93">
        <v>2.5503224270457793E-2</v>
      </c>
      <c r="I155" s="96">
        <v>2.4590163934426229E-2</v>
      </c>
      <c r="J155" s="96">
        <v>2.4590163934426233E-2</v>
      </c>
      <c r="K155" s="96">
        <v>2.4590163934426236E-2</v>
      </c>
      <c r="L155" s="96">
        <v>2.4590163934426233E-2</v>
      </c>
      <c r="M155" s="96">
        <v>2.4590163934426229E-2</v>
      </c>
      <c r="N155" s="96">
        <v>2.4590163934426233E-2</v>
      </c>
      <c r="O155" s="96">
        <v>2.4590163934426233E-2</v>
      </c>
      <c r="P155" s="36">
        <v>2.4916981885923794E-2</v>
      </c>
    </row>
    <row r="156" spans="1:16" hidden="1" outlineLevel="1" x14ac:dyDescent="0.25">
      <c r="A156" s="32" t="s">
        <v>94</v>
      </c>
      <c r="B156" s="64" t="s">
        <v>75</v>
      </c>
      <c r="C156" s="33" t="s">
        <v>102</v>
      </c>
      <c r="D156" s="93">
        <v>3.8141735297891224E-3</v>
      </c>
      <c r="E156" s="93">
        <v>4.2135956092416672E-3</v>
      </c>
      <c r="F156" s="93">
        <v>4.1647609347504107E-3</v>
      </c>
      <c r="G156" s="93">
        <v>5.5709809380856869E-3</v>
      </c>
      <c r="H156" s="93">
        <v>1.5523171428327726E-2</v>
      </c>
      <c r="I156" s="96">
        <v>1.5652459016393439E-2</v>
      </c>
      <c r="J156" s="96">
        <v>1.5493770491803276E-2</v>
      </c>
      <c r="K156" s="96">
        <v>1.6308852459016393E-2</v>
      </c>
      <c r="L156" s="96">
        <v>1.638666393442623E-2</v>
      </c>
      <c r="M156" s="96">
        <v>1.6700163934426228E-2</v>
      </c>
      <c r="N156" s="96">
        <v>1.6477706037305091E-2</v>
      </c>
      <c r="O156" s="96">
        <v>1.6477758368448989E-2</v>
      </c>
      <c r="P156" s="36">
        <v>1.2232004723501185E-2</v>
      </c>
    </row>
    <row r="157" spans="1:16" hidden="1" outlineLevel="1" x14ac:dyDescent="0.25">
      <c r="A157" s="32" t="s">
        <v>98</v>
      </c>
      <c r="B157" s="64" t="s">
        <v>75</v>
      </c>
      <c r="C157" s="33" t="s">
        <v>102</v>
      </c>
      <c r="D157" s="93">
        <v>0</v>
      </c>
      <c r="E157" s="93">
        <v>0</v>
      </c>
      <c r="F157" s="93">
        <v>0</v>
      </c>
      <c r="G157" s="93">
        <v>0</v>
      </c>
      <c r="H157" s="93">
        <v>0</v>
      </c>
      <c r="I157" s="96">
        <v>0</v>
      </c>
      <c r="J157" s="96">
        <v>0</v>
      </c>
      <c r="K157" s="96">
        <v>0</v>
      </c>
      <c r="L157" s="96">
        <v>0</v>
      </c>
      <c r="M157" s="96">
        <v>0</v>
      </c>
      <c r="N157" s="96">
        <v>0</v>
      </c>
      <c r="O157" s="96">
        <v>0</v>
      </c>
      <c r="P157" s="36">
        <v>0</v>
      </c>
    </row>
    <row r="158" spans="1:16" hidden="1" outlineLevel="1" x14ac:dyDescent="0.25">
      <c r="A158" s="32" t="s">
        <v>99</v>
      </c>
      <c r="B158" s="64" t="s">
        <v>75</v>
      </c>
      <c r="C158" s="33" t="s">
        <v>102</v>
      </c>
      <c r="D158" s="93">
        <v>0</v>
      </c>
      <c r="E158" s="93">
        <v>0</v>
      </c>
      <c r="F158" s="93">
        <v>0</v>
      </c>
      <c r="G158" s="93">
        <v>0</v>
      </c>
      <c r="H158" s="93">
        <v>0</v>
      </c>
      <c r="I158" s="96">
        <v>0</v>
      </c>
      <c r="J158" s="96">
        <v>0</v>
      </c>
      <c r="K158" s="96">
        <v>0</v>
      </c>
      <c r="L158" s="96">
        <v>0</v>
      </c>
      <c r="M158" s="96">
        <v>0</v>
      </c>
      <c r="N158" s="96">
        <v>0</v>
      </c>
      <c r="O158" s="96">
        <v>0</v>
      </c>
      <c r="P158" s="36">
        <v>0</v>
      </c>
    </row>
    <row r="159" spans="1:16" hidden="1" outlineLevel="1" x14ac:dyDescent="0.25">
      <c r="A159" s="32" t="s">
        <v>100</v>
      </c>
      <c r="B159" s="64" t="s">
        <v>75</v>
      </c>
      <c r="C159" s="33" t="s">
        <v>102</v>
      </c>
      <c r="D159" s="93">
        <v>1.2909909250585481E-3</v>
      </c>
      <c r="E159" s="93">
        <v>2.4437599531615928E-3</v>
      </c>
      <c r="F159" s="93">
        <v>0</v>
      </c>
      <c r="G159" s="93">
        <v>0</v>
      </c>
      <c r="H159" s="93">
        <v>0</v>
      </c>
      <c r="I159" s="96">
        <v>0</v>
      </c>
      <c r="J159" s="96">
        <v>0</v>
      </c>
      <c r="K159" s="96">
        <v>0</v>
      </c>
      <c r="L159" s="96">
        <v>0</v>
      </c>
      <c r="M159" s="96">
        <v>0</v>
      </c>
      <c r="N159" s="96">
        <v>0</v>
      </c>
      <c r="O159" s="96">
        <v>0</v>
      </c>
      <c r="P159" s="36">
        <v>3.1122923985167839E-4</v>
      </c>
    </row>
    <row r="160" spans="1:16" hidden="1" outlineLevel="1" x14ac:dyDescent="0.25">
      <c r="A160" s="32" t="s">
        <v>103</v>
      </c>
      <c r="B160" s="64" t="s">
        <v>75</v>
      </c>
      <c r="C160" s="33" t="s">
        <v>102</v>
      </c>
      <c r="D160" s="93">
        <v>0</v>
      </c>
      <c r="E160" s="93">
        <v>0</v>
      </c>
      <c r="F160" s="93">
        <v>0</v>
      </c>
      <c r="G160" s="93">
        <v>0</v>
      </c>
      <c r="H160" s="93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36">
        <v>0</v>
      </c>
    </row>
    <row r="161" spans="1:16" collapsed="1" x14ac:dyDescent="0.25">
      <c r="A161" s="28" t="s">
        <v>52</v>
      </c>
      <c r="B161" s="29"/>
      <c r="C161" s="74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</row>
    <row r="162" spans="1:16" x14ac:dyDescent="0.25">
      <c r="A162" s="32" t="s">
        <v>92</v>
      </c>
      <c r="B162" s="67" t="s">
        <v>52</v>
      </c>
      <c r="C162" s="33" t="s">
        <v>28</v>
      </c>
      <c r="D162" s="38">
        <v>0.8572704161630641</v>
      </c>
      <c r="E162" s="38">
        <v>0.87045369799441619</v>
      </c>
      <c r="F162" s="38">
        <v>0.86801616676719329</v>
      </c>
      <c r="G162" s="38">
        <v>0.80011358325508908</v>
      </c>
      <c r="H162" s="38">
        <v>0.79990314552671715</v>
      </c>
      <c r="I162" s="39">
        <v>0.8</v>
      </c>
      <c r="J162" s="39">
        <v>0.8</v>
      </c>
      <c r="K162" s="39">
        <v>0.8</v>
      </c>
      <c r="L162" s="39">
        <v>0.8</v>
      </c>
      <c r="M162" s="39">
        <v>0.8</v>
      </c>
      <c r="N162" s="39">
        <v>0.8</v>
      </c>
      <c r="O162" s="39">
        <v>0.8</v>
      </c>
      <c r="P162" s="38">
        <v>0.81631308414220671</v>
      </c>
    </row>
    <row r="163" spans="1:16" x14ac:dyDescent="0.25">
      <c r="A163" s="32" t="s">
        <v>93</v>
      </c>
      <c r="B163" s="67" t="s">
        <v>52</v>
      </c>
      <c r="C163" s="33" t="s">
        <v>28</v>
      </c>
      <c r="D163" s="38">
        <v>0.72246788864155986</v>
      </c>
      <c r="E163" s="38">
        <v>0.74989582747492389</v>
      </c>
      <c r="F163" s="38">
        <v>0.75</v>
      </c>
      <c r="G163" s="38">
        <v>0.74999999999999989</v>
      </c>
      <c r="H163" s="38">
        <v>0.75</v>
      </c>
      <c r="I163" s="39">
        <v>0.75</v>
      </c>
      <c r="J163" s="39">
        <v>0.75</v>
      </c>
      <c r="K163" s="39">
        <v>0.75</v>
      </c>
      <c r="L163" s="39">
        <v>0.75</v>
      </c>
      <c r="M163" s="39">
        <v>0.75</v>
      </c>
      <c r="N163" s="39">
        <v>0.75</v>
      </c>
      <c r="O163" s="39">
        <v>0.75</v>
      </c>
      <c r="P163" s="38">
        <v>0.74769697634304022</v>
      </c>
    </row>
    <row r="164" spans="1:16" x14ac:dyDescent="0.25">
      <c r="A164" s="32" t="s">
        <v>94</v>
      </c>
      <c r="B164" s="67" t="s">
        <v>52</v>
      </c>
      <c r="C164" s="33" t="s">
        <v>28</v>
      </c>
      <c r="D164" s="54">
        <v>4.3448749271621477E-3</v>
      </c>
      <c r="E164" s="54">
        <v>4.6574370427224007E-3</v>
      </c>
      <c r="F164" s="54">
        <v>4.5763117170213525E-3</v>
      </c>
      <c r="G164" s="54">
        <v>6.1280241133259434E-3</v>
      </c>
      <c r="H164" s="54">
        <v>1.6928530641993709E-2</v>
      </c>
      <c r="I164" s="41">
        <v>1.7600000000000001E-2</v>
      </c>
      <c r="J164" s="41">
        <v>1.7600000000000001E-2</v>
      </c>
      <c r="K164" s="41">
        <v>1.8699999999999998E-2</v>
      </c>
      <c r="L164" s="41">
        <v>1.9140000000000001E-2</v>
      </c>
      <c r="M164" s="41">
        <v>1.9799999999999998E-2</v>
      </c>
      <c r="N164" s="41">
        <v>2.0900000000000002E-2</v>
      </c>
      <c r="O164" s="41">
        <v>2.0899999999999998E-2</v>
      </c>
      <c r="P164" s="54">
        <v>1.427293153685213E-2</v>
      </c>
    </row>
    <row r="165" spans="1:16" x14ac:dyDescent="0.25">
      <c r="A165" s="28" t="s">
        <v>62</v>
      </c>
      <c r="B165" s="29"/>
      <c r="C165" s="74"/>
      <c r="D165" s="69">
        <v>59.126602632622976</v>
      </c>
      <c r="E165" s="69">
        <v>49.400056762295023</v>
      </c>
      <c r="F165" s="69">
        <v>58.131992409836151</v>
      </c>
      <c r="G165" s="69">
        <v>71.065324951639383</v>
      </c>
      <c r="H165" s="69">
        <v>116.31423025409833</v>
      </c>
      <c r="I165" s="69">
        <v>115.11857052114846</v>
      </c>
      <c r="J165" s="69">
        <v>106.24896030245981</v>
      </c>
      <c r="K165" s="69">
        <v>89.288148738967209</v>
      </c>
      <c r="L165" s="69">
        <v>51.573848840267303</v>
      </c>
      <c r="M165" s="69">
        <v>34.960407634911469</v>
      </c>
      <c r="N165" s="69">
        <v>16.241531539363685</v>
      </c>
      <c r="O165" s="69">
        <v>18.362807644569045</v>
      </c>
      <c r="P165" s="69">
        <v>785.83248223217879</v>
      </c>
    </row>
    <row r="166" spans="1:16" x14ac:dyDescent="0.25">
      <c r="A166" s="32" t="s">
        <v>92</v>
      </c>
      <c r="B166" s="67" t="s">
        <v>62</v>
      </c>
      <c r="C166" s="33" t="s">
        <v>44</v>
      </c>
      <c r="D166" s="50">
        <v>18.365626286885224</v>
      </c>
      <c r="E166" s="50">
        <v>14.703456967213107</v>
      </c>
      <c r="F166" s="50">
        <v>19.757524336065572</v>
      </c>
      <c r="G166" s="50">
        <v>30.64361074590164</v>
      </c>
      <c r="H166" s="50">
        <v>29.404931393442624</v>
      </c>
      <c r="I166" s="51">
        <v>28.795574967458577</v>
      </c>
      <c r="J166" s="51">
        <v>28.662888664834384</v>
      </c>
      <c r="K166" s="51">
        <v>22.610146785708043</v>
      </c>
      <c r="L166" s="51">
        <v>11.34629767957149</v>
      </c>
      <c r="M166" s="51">
        <v>6.4984837798028199</v>
      </c>
      <c r="N166" s="51">
        <v>1.1275007365112419</v>
      </c>
      <c r="O166" s="51">
        <v>1.8863456713351647</v>
      </c>
      <c r="P166" s="50">
        <v>213.8023880147299</v>
      </c>
    </row>
    <row r="167" spans="1:16" x14ac:dyDescent="0.25">
      <c r="A167" s="32" t="s">
        <v>93</v>
      </c>
      <c r="B167" s="67" t="s">
        <v>62</v>
      </c>
      <c r="C167" s="33" t="s">
        <v>44</v>
      </c>
      <c r="D167" s="50">
        <v>25.811410098360646</v>
      </c>
      <c r="E167" s="50">
        <v>20.251890172131144</v>
      </c>
      <c r="F167" s="50">
        <v>20.64614077868853</v>
      </c>
      <c r="G167" s="50">
        <v>15.743631147540984</v>
      </c>
      <c r="H167" s="50">
        <v>12.292554098360656</v>
      </c>
      <c r="I167" s="97">
        <v>12.912962766804633</v>
      </c>
      <c r="J167" s="51">
        <v>12.248841473691002</v>
      </c>
      <c r="K167" s="51">
        <v>9.6622537565378437</v>
      </c>
      <c r="L167" s="51">
        <v>4.8487437262695821</v>
      </c>
      <c r="M167" s="51">
        <v>2.7770717239611118</v>
      </c>
      <c r="N167" s="51">
        <v>0.48182784172552107</v>
      </c>
      <c r="O167" s="51">
        <v>0.80611376483889252</v>
      </c>
      <c r="P167" s="50">
        <v>138.48344134891059</v>
      </c>
    </row>
    <row r="168" spans="1:16" x14ac:dyDescent="0.25">
      <c r="A168" s="32" t="s">
        <v>94</v>
      </c>
      <c r="B168" s="67" t="s">
        <v>62</v>
      </c>
      <c r="C168" s="33" t="s">
        <v>44</v>
      </c>
      <c r="D168" s="50">
        <v>14.913418501475467</v>
      </c>
      <c r="E168" s="50">
        <v>14.410496983606505</v>
      </c>
      <c r="F168" s="50">
        <v>17.691904450819745</v>
      </c>
      <c r="G168" s="50">
        <v>24.657161631967249</v>
      </c>
      <c r="H168" s="50">
        <v>74.588838713114725</v>
      </c>
      <c r="I168" s="51">
        <v>73.410032786885239</v>
      </c>
      <c r="J168" s="51">
        <v>65.337230163934422</v>
      </c>
      <c r="K168" s="51">
        <v>57.015748196721312</v>
      </c>
      <c r="L168" s="51">
        <v>35.378807434426228</v>
      </c>
      <c r="M168" s="51">
        <v>25.684852131147537</v>
      </c>
      <c r="N168" s="51">
        <v>14.63220296112692</v>
      </c>
      <c r="O168" s="51">
        <v>15.670348208394987</v>
      </c>
      <c r="P168" s="50">
        <v>433.39104216362028</v>
      </c>
    </row>
    <row r="169" spans="1:16" hidden="1" x14ac:dyDescent="0.25">
      <c r="A169" s="32" t="s">
        <v>95</v>
      </c>
      <c r="B169" s="67" t="s">
        <v>62</v>
      </c>
      <c r="C169" s="33" t="s">
        <v>44</v>
      </c>
      <c r="D169" s="50">
        <v>3.6147745901639342E-2</v>
      </c>
      <c r="E169" s="50">
        <v>3.4212639344262302E-2</v>
      </c>
      <c r="F169" s="50">
        <v>3.6422844262295091E-2</v>
      </c>
      <c r="G169" s="50">
        <v>2.0921426229508197E-2</v>
      </c>
      <c r="H169" s="50">
        <v>2.7906049180327869E-2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0">
        <v>0.15561070491803283</v>
      </c>
    </row>
    <row r="170" spans="1:16" hidden="1" x14ac:dyDescent="0.25">
      <c r="A170" s="32" t="s">
        <v>96</v>
      </c>
      <c r="B170" s="67" t="s">
        <v>62</v>
      </c>
      <c r="C170" s="33" t="s">
        <v>44</v>
      </c>
      <c r="D170" s="50">
        <v>0</v>
      </c>
      <c r="E170" s="50">
        <v>0</v>
      </c>
      <c r="F170" s="50">
        <v>0</v>
      </c>
      <c r="G170" s="50">
        <v>0</v>
      </c>
      <c r="H170" s="50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0">
        <v>0</v>
      </c>
    </row>
    <row r="171" spans="1:16" x14ac:dyDescent="0.25">
      <c r="A171" s="28"/>
      <c r="B171" s="29"/>
      <c r="C171" s="74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</row>
    <row r="173" spans="1:16" ht="15.75" x14ac:dyDescent="0.25">
      <c r="A173" s="24" t="s">
        <v>104</v>
      </c>
      <c r="B173" s="24"/>
      <c r="C173" s="33"/>
    </row>
    <row r="174" spans="1:16" x14ac:dyDescent="0.25">
      <c r="A174" s="28"/>
      <c r="B174" s="29"/>
      <c r="C174" s="74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</row>
    <row r="175" spans="1:16" x14ac:dyDescent="0.25">
      <c r="A175" s="32" t="s">
        <v>31</v>
      </c>
      <c r="B175" s="67"/>
      <c r="C175" s="33" t="s">
        <v>26</v>
      </c>
      <c r="D175" s="50">
        <v>30</v>
      </c>
      <c r="E175" s="50">
        <v>68</v>
      </c>
      <c r="F175" s="50">
        <v>175</v>
      </c>
      <c r="G175" s="50">
        <v>186</v>
      </c>
      <c r="H175" s="50">
        <v>122</v>
      </c>
      <c r="I175" s="51">
        <v>262</v>
      </c>
      <c r="J175" s="51">
        <v>275</v>
      </c>
      <c r="K175" s="51">
        <v>285</v>
      </c>
      <c r="L175" s="51">
        <v>300</v>
      </c>
      <c r="M175" s="51">
        <v>289</v>
      </c>
      <c r="N175" s="51">
        <v>290</v>
      </c>
      <c r="O175" s="51">
        <v>283</v>
      </c>
      <c r="P175" s="36">
        <v>2565</v>
      </c>
    </row>
    <row r="176" spans="1:16" x14ac:dyDescent="0.25">
      <c r="A176" s="32" t="s">
        <v>101</v>
      </c>
      <c r="B176" s="67"/>
      <c r="C176" s="33" t="s">
        <v>28</v>
      </c>
      <c r="D176" s="38">
        <v>7.6726342710997444E-3</v>
      </c>
      <c r="E176" s="38">
        <v>1.9883040935672516E-2</v>
      </c>
      <c r="F176" s="38">
        <v>4.1195856873822975E-2</v>
      </c>
      <c r="G176" s="38">
        <v>4.202440126525079E-2</v>
      </c>
      <c r="H176" s="38">
        <v>2.539021852237253E-2</v>
      </c>
      <c r="I176" s="39">
        <v>5.5863539445628996E-2</v>
      </c>
      <c r="J176" s="39">
        <v>6.5212236186862699E-2</v>
      </c>
      <c r="K176" s="39">
        <v>8.1521739130434784E-2</v>
      </c>
      <c r="L176" s="39">
        <v>0.13895321908290875</v>
      </c>
      <c r="M176" s="39">
        <v>0.18790637191157347</v>
      </c>
      <c r="N176" s="39">
        <v>0.32657657657657657</v>
      </c>
      <c r="O176" s="39">
        <v>0.29758149316508936</v>
      </c>
      <c r="P176" s="38">
        <v>0.10748177728060776</v>
      </c>
    </row>
    <row r="177" spans="1:16" x14ac:dyDescent="0.25">
      <c r="A177" s="32" t="s">
        <v>75</v>
      </c>
      <c r="B177" s="67"/>
      <c r="C177" s="33"/>
      <c r="D177" s="94">
        <v>3.3159999999999995E-2</v>
      </c>
      <c r="E177" s="94">
        <v>4.0830882352941182E-2</v>
      </c>
      <c r="F177" s="94">
        <v>4.5868571428571432E-2</v>
      </c>
      <c r="G177" s="94">
        <v>5.2276881720430109E-2</v>
      </c>
      <c r="H177" s="94">
        <v>4.2838282719699014E-2</v>
      </c>
      <c r="I177" s="95">
        <v>4.4672131147540983E-2</v>
      </c>
      <c r="J177" s="95">
        <v>4.467213114754099E-2</v>
      </c>
      <c r="K177" s="95">
        <v>4.467213114754099E-2</v>
      </c>
      <c r="L177" s="95">
        <v>4.467213114754099E-2</v>
      </c>
      <c r="M177" s="95">
        <v>4.4672131147540983E-2</v>
      </c>
      <c r="N177" s="95">
        <v>4.4672131147540976E-2</v>
      </c>
      <c r="O177" s="95">
        <v>4.467213114754099E-2</v>
      </c>
      <c r="P177" s="94">
        <v>4.3973294687869056E-2</v>
      </c>
    </row>
    <row r="178" spans="1:16" x14ac:dyDescent="0.25">
      <c r="A178" s="28" t="s">
        <v>62</v>
      </c>
      <c r="B178" s="29"/>
      <c r="C178" s="74"/>
      <c r="D178" s="69">
        <v>0.81540983606557371</v>
      </c>
      <c r="E178" s="69">
        <v>2.2758196721311479</v>
      </c>
      <c r="F178" s="98">
        <v>6.5795081967213118</v>
      </c>
      <c r="G178" s="69">
        <v>7.9700819672131153</v>
      </c>
      <c r="H178" s="69">
        <v>5.2262704918032794</v>
      </c>
      <c r="I178" s="49">
        <v>11.704098360655738</v>
      </c>
      <c r="J178" s="49">
        <v>12.284836065573773</v>
      </c>
      <c r="K178" s="49">
        <v>12.731557377049182</v>
      </c>
      <c r="L178" s="49">
        <v>13.401639344262296</v>
      </c>
      <c r="M178" s="49">
        <v>12.910245901639344</v>
      </c>
      <c r="N178" s="49">
        <v>12.954918032786884</v>
      </c>
      <c r="O178" s="49">
        <v>12.642213114754099</v>
      </c>
      <c r="P178" s="49">
        <v>111.49659836065574</v>
      </c>
    </row>
    <row r="179" spans="1:16" x14ac:dyDescent="0.25">
      <c r="D179" s="99"/>
      <c r="E179" s="99"/>
      <c r="F179" s="99"/>
      <c r="G179" s="99"/>
      <c r="H179" s="99"/>
    </row>
    <row r="180" spans="1:16" ht="15.75" x14ac:dyDescent="0.25">
      <c r="A180" s="24" t="s">
        <v>105</v>
      </c>
      <c r="B180" s="24"/>
      <c r="C180" s="33"/>
    </row>
    <row r="181" spans="1:16" x14ac:dyDescent="0.25">
      <c r="A181" s="28"/>
      <c r="B181" s="29"/>
      <c r="C181" s="74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</row>
    <row r="182" spans="1:16" x14ac:dyDescent="0.25">
      <c r="A182" s="32" t="s">
        <v>106</v>
      </c>
      <c r="B182" s="67"/>
      <c r="C182" s="33" t="s">
        <v>26</v>
      </c>
      <c r="D182" s="50">
        <v>0</v>
      </c>
      <c r="E182" s="50">
        <v>0</v>
      </c>
      <c r="F182" s="50">
        <v>0</v>
      </c>
      <c r="G182" s="50">
        <v>0</v>
      </c>
      <c r="H182" s="50">
        <v>0</v>
      </c>
      <c r="I182" s="35">
        <v>62.802</v>
      </c>
      <c r="J182" s="35">
        <v>80.801999999999992</v>
      </c>
      <c r="K182" s="35">
        <v>81.844230556008483</v>
      </c>
      <c r="L182" s="35">
        <v>300.87849972281106</v>
      </c>
      <c r="M182" s="35">
        <v>351.01801966737332</v>
      </c>
      <c r="N182" s="35">
        <v>421.22162360084792</v>
      </c>
      <c r="O182" s="35">
        <v>519.3158767210175</v>
      </c>
      <c r="P182" s="36">
        <v>1817.8822502680582</v>
      </c>
    </row>
    <row r="183" spans="1:16" x14ac:dyDescent="0.25">
      <c r="A183" s="32" t="s">
        <v>75</v>
      </c>
      <c r="B183" s="67"/>
      <c r="C183" s="33"/>
      <c r="D183" s="94">
        <v>0</v>
      </c>
      <c r="E183" s="94">
        <v>0</v>
      </c>
      <c r="F183" s="94">
        <v>0</v>
      </c>
      <c r="G183" s="94">
        <v>0</v>
      </c>
      <c r="H183" s="94">
        <v>0</v>
      </c>
      <c r="I183" s="95">
        <v>1.645611683036094E-2</v>
      </c>
      <c r="J183" s="95">
        <v>1.6442155100040132E-2</v>
      </c>
      <c r="K183" s="95">
        <v>1.6441534779808194E-2</v>
      </c>
      <c r="L183" s="95">
        <v>1.6940266477547206E-2</v>
      </c>
      <c r="M183" s="95">
        <v>1.6932465298511581E-2</v>
      </c>
      <c r="N183" s="95">
        <v>1.6932465298511577E-2</v>
      </c>
      <c r="O183" s="95">
        <v>1.6939950097339448E-2</v>
      </c>
      <c r="P183" s="94">
        <v>1.6726421983159871E-2</v>
      </c>
    </row>
    <row r="184" spans="1:16" x14ac:dyDescent="0.25">
      <c r="A184" s="28" t="s">
        <v>62</v>
      </c>
      <c r="B184" s="29"/>
      <c r="C184" s="74"/>
      <c r="D184" s="56">
        <v>0</v>
      </c>
      <c r="E184" s="56">
        <v>0</v>
      </c>
      <c r="F184" s="56">
        <v>0</v>
      </c>
      <c r="G184" s="56">
        <v>0</v>
      </c>
      <c r="H184" s="56">
        <v>0</v>
      </c>
      <c r="I184" s="56">
        <v>1.0334770491803278</v>
      </c>
      <c r="J184" s="56">
        <v>1.3285590163934426</v>
      </c>
      <c r="K184" s="56">
        <v>1.345644763213254</v>
      </c>
      <c r="L184" s="56">
        <v>5.0969619626690328</v>
      </c>
      <c r="M184" s="56">
        <v>5.9436004371700539</v>
      </c>
      <c r="N184" s="56">
        <v>7.1323205246040633</v>
      </c>
      <c r="O184" s="56">
        <v>8.7971850364101218</v>
      </c>
      <c r="P184" s="56">
        <v>30.677748789640297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A58F-FF5F-4D62-82D7-7C8CBAAAE2AF}">
  <dimension ref="A1:S172"/>
  <sheetViews>
    <sheetView showGridLines="0" tabSelected="1" zoomScale="140" zoomScaleNormal="140" workbookViewId="0">
      <selection activeCell="E11" sqref="E11"/>
    </sheetView>
  </sheetViews>
  <sheetFormatPr defaultColWidth="8.85546875" defaultRowHeight="15" outlineLevelRow="1" x14ac:dyDescent="0.25"/>
  <cols>
    <col min="1" max="1" width="36.7109375" customWidth="1"/>
    <col min="2" max="2" width="8.7109375" bestFit="1" customWidth="1"/>
    <col min="3" max="3" width="2" customWidth="1"/>
    <col min="4" max="4" width="31.7109375" customWidth="1"/>
    <col min="5" max="5" width="15.140625" bestFit="1" customWidth="1"/>
    <col min="6" max="7" width="10.140625" bestFit="1" customWidth="1"/>
    <col min="8" max="8" width="12.28515625" bestFit="1" customWidth="1"/>
    <col min="9" max="9" width="10.7109375" bestFit="1" customWidth="1"/>
    <col min="10" max="10" width="10.140625" bestFit="1" customWidth="1"/>
    <col min="11" max="16" width="11.7109375" bestFit="1" customWidth="1"/>
    <col min="17" max="17" width="12.7109375" bestFit="1" customWidth="1"/>
  </cols>
  <sheetData>
    <row r="1" spans="1:5" ht="20.25" x14ac:dyDescent="0.3">
      <c r="A1" s="1" t="s">
        <v>0</v>
      </c>
      <c r="B1" s="3">
        <v>6</v>
      </c>
    </row>
    <row r="2" spans="1:5" x14ac:dyDescent="0.25">
      <c r="A2" s="4" t="s">
        <v>2</v>
      </c>
      <c r="B2" s="6"/>
    </row>
    <row r="3" spans="1:5" x14ac:dyDescent="0.25">
      <c r="A3" s="8" t="s">
        <v>16</v>
      </c>
      <c r="B3" s="8" t="s">
        <v>17</v>
      </c>
      <c r="D3" s="103" t="s">
        <v>110</v>
      </c>
    </row>
    <row r="4" spans="1:5" ht="15.75" x14ac:dyDescent="0.25">
      <c r="A4" s="24" t="s">
        <v>23</v>
      </c>
      <c r="B4" s="26"/>
    </row>
    <row r="5" spans="1:5" x14ac:dyDescent="0.25">
      <c r="A5" s="28" t="s">
        <v>24</v>
      </c>
      <c r="B5" s="30"/>
      <c r="D5" s="29"/>
    </row>
    <row r="6" spans="1:5" x14ac:dyDescent="0.25">
      <c r="A6" s="32" t="s">
        <v>25</v>
      </c>
      <c r="B6" s="33" t="s">
        <v>26</v>
      </c>
      <c r="D6" t="s">
        <v>121</v>
      </c>
      <c r="E6" s="107"/>
    </row>
    <row r="7" spans="1:5" x14ac:dyDescent="0.25">
      <c r="A7" s="37" t="s">
        <v>27</v>
      </c>
      <c r="B7" s="33" t="s">
        <v>28</v>
      </c>
      <c r="D7" t="s">
        <v>122</v>
      </c>
      <c r="E7" s="107"/>
    </row>
    <row r="8" spans="1:5" x14ac:dyDescent="0.25">
      <c r="A8" s="32" t="s">
        <v>29</v>
      </c>
      <c r="B8" s="33" t="s">
        <v>26</v>
      </c>
      <c r="D8" t="s">
        <v>122</v>
      </c>
      <c r="E8" s="107"/>
    </row>
    <row r="9" spans="1:5" x14ac:dyDescent="0.25">
      <c r="A9" s="32" t="s">
        <v>30</v>
      </c>
      <c r="B9" s="33"/>
      <c r="E9" s="107"/>
    </row>
    <row r="10" spans="1:5" x14ac:dyDescent="0.25">
      <c r="A10" s="37" t="s">
        <v>123</v>
      </c>
      <c r="B10" s="33" t="s">
        <v>28</v>
      </c>
      <c r="D10" t="s">
        <v>113</v>
      </c>
      <c r="E10" s="107"/>
    </row>
    <row r="11" spans="1:5" x14ac:dyDescent="0.25">
      <c r="A11" s="37" t="s">
        <v>124</v>
      </c>
      <c r="B11" s="33" t="s">
        <v>28</v>
      </c>
      <c r="D11" t="s">
        <v>125</v>
      </c>
    </row>
    <row r="12" spans="1:5" x14ac:dyDescent="0.25">
      <c r="A12" s="28" t="s">
        <v>31</v>
      </c>
      <c r="B12" s="42" t="s">
        <v>26</v>
      </c>
      <c r="D12" s="29" t="s">
        <v>114</v>
      </c>
    </row>
    <row r="13" spans="1:5" x14ac:dyDescent="0.25">
      <c r="A13" s="32" t="s">
        <v>32</v>
      </c>
      <c r="B13" s="33" t="s">
        <v>26</v>
      </c>
      <c r="D13" t="s">
        <v>114</v>
      </c>
    </row>
    <row r="14" spans="1:5" x14ac:dyDescent="0.25">
      <c r="A14" s="104" t="s">
        <v>108</v>
      </c>
      <c r="B14" s="33" t="s">
        <v>26</v>
      </c>
      <c r="D14" t="s">
        <v>116</v>
      </c>
    </row>
    <row r="15" spans="1:5" x14ac:dyDescent="0.25">
      <c r="A15" s="104" t="s">
        <v>109</v>
      </c>
      <c r="B15" s="33" t="s">
        <v>26</v>
      </c>
      <c r="D15" t="s">
        <v>117</v>
      </c>
    </row>
    <row r="16" spans="1:5" x14ac:dyDescent="0.25">
      <c r="A16" s="32" t="s">
        <v>34</v>
      </c>
      <c r="B16" s="33" t="s">
        <v>26</v>
      </c>
      <c r="D16" t="s">
        <v>117</v>
      </c>
    </row>
    <row r="17" spans="1:4" hidden="1" outlineLevel="1" x14ac:dyDescent="0.25">
      <c r="A17" s="28" t="s">
        <v>36</v>
      </c>
      <c r="B17" s="42"/>
    </row>
    <row r="18" spans="1:4" hidden="1" outlineLevel="1" x14ac:dyDescent="0.25">
      <c r="A18" s="32" t="s">
        <v>37</v>
      </c>
      <c r="B18" s="33" t="s">
        <v>28</v>
      </c>
    </row>
    <row r="19" spans="1:4" hidden="1" outlineLevel="1" x14ac:dyDescent="0.25">
      <c r="A19" s="32" t="s">
        <v>38</v>
      </c>
      <c r="B19" s="33" t="s">
        <v>28</v>
      </c>
    </row>
    <row r="20" spans="1:4" hidden="1" outlineLevel="1" x14ac:dyDescent="0.25">
      <c r="A20" s="28" t="s">
        <v>39</v>
      </c>
      <c r="B20" s="42"/>
    </row>
    <row r="21" spans="1:4" hidden="1" outlineLevel="1" x14ac:dyDescent="0.25">
      <c r="A21" s="47" t="s">
        <v>40</v>
      </c>
      <c r="B21" s="33" t="s">
        <v>28</v>
      </c>
    </row>
    <row r="22" spans="1:4" hidden="1" outlineLevel="1" x14ac:dyDescent="0.25">
      <c r="A22" s="47" t="s">
        <v>41</v>
      </c>
      <c r="B22" s="33" t="s">
        <v>28</v>
      </c>
    </row>
    <row r="23" spans="1:4" collapsed="1" x14ac:dyDescent="0.25">
      <c r="A23" s="28" t="s">
        <v>42</v>
      </c>
      <c r="B23" s="42"/>
      <c r="D23" s="29" t="s">
        <v>114</v>
      </c>
    </row>
    <row r="24" spans="1:4" x14ac:dyDescent="0.25">
      <c r="A24" s="32" t="s">
        <v>43</v>
      </c>
      <c r="B24" s="33" t="s">
        <v>44</v>
      </c>
      <c r="D24" t="s">
        <v>118</v>
      </c>
    </row>
    <row r="25" spans="1:4" x14ac:dyDescent="0.25">
      <c r="A25" s="32" t="s">
        <v>45</v>
      </c>
      <c r="B25" s="33" t="s">
        <v>44</v>
      </c>
      <c r="D25" t="s">
        <v>118</v>
      </c>
    </row>
    <row r="26" spans="1:4" x14ac:dyDescent="0.25">
      <c r="A26" s="47" t="s">
        <v>46</v>
      </c>
      <c r="B26" s="33" t="s">
        <v>44</v>
      </c>
      <c r="D26" t="s">
        <v>118</v>
      </c>
    </row>
    <row r="27" spans="1:4" x14ac:dyDescent="0.25">
      <c r="A27" s="28" t="s">
        <v>47</v>
      </c>
      <c r="B27" s="42"/>
      <c r="D27" s="29" t="s">
        <v>114</v>
      </c>
    </row>
    <row r="28" spans="1:4" hidden="1" x14ac:dyDescent="0.25">
      <c r="A28" s="47" t="s">
        <v>46</v>
      </c>
      <c r="B28" s="33" t="s">
        <v>44</v>
      </c>
      <c r="D28" t="s">
        <v>118</v>
      </c>
    </row>
    <row r="29" spans="1:4" hidden="1" x14ac:dyDescent="0.25">
      <c r="A29" s="32" t="s">
        <v>48</v>
      </c>
      <c r="B29" s="33" t="s">
        <v>26</v>
      </c>
    </row>
    <row r="30" spans="1:4" hidden="1" x14ac:dyDescent="0.25">
      <c r="A30" s="52" t="s">
        <v>49</v>
      </c>
      <c r="B30" s="53" t="s">
        <v>28</v>
      </c>
    </row>
    <row r="31" spans="1:4" hidden="1" x14ac:dyDescent="0.25">
      <c r="A31" s="32" t="s">
        <v>50</v>
      </c>
      <c r="B31" s="33" t="s">
        <v>28</v>
      </c>
    </row>
    <row r="32" spans="1:4" x14ac:dyDescent="0.25">
      <c r="A32" s="32" t="s">
        <v>51</v>
      </c>
      <c r="B32" s="33" t="s">
        <v>28</v>
      </c>
      <c r="D32" t="s">
        <v>118</v>
      </c>
    </row>
    <row r="33" spans="1:5" x14ac:dyDescent="0.25">
      <c r="A33" s="28" t="s">
        <v>52</v>
      </c>
      <c r="B33" s="42"/>
      <c r="D33" s="29" t="s">
        <v>114</v>
      </c>
    </row>
    <row r="34" spans="1:5" x14ac:dyDescent="0.25">
      <c r="A34" s="32" t="s">
        <v>53</v>
      </c>
      <c r="B34" s="33" t="s">
        <v>28</v>
      </c>
      <c r="D34" t="s">
        <v>116</v>
      </c>
    </row>
    <row r="35" spans="1:5" x14ac:dyDescent="0.25">
      <c r="A35" s="32" t="s">
        <v>54</v>
      </c>
      <c r="B35" s="33" t="s">
        <v>28</v>
      </c>
      <c r="D35" t="s">
        <v>116</v>
      </c>
    </row>
    <row r="36" spans="1:5" hidden="1" outlineLevel="1" x14ac:dyDescent="0.25">
      <c r="A36" s="28" t="s">
        <v>55</v>
      </c>
      <c r="B36" s="30"/>
    </row>
    <row r="37" spans="1:5" hidden="1" outlineLevel="1" x14ac:dyDescent="0.25">
      <c r="A37" s="32" t="s">
        <v>53</v>
      </c>
      <c r="B37" s="33" t="s">
        <v>44</v>
      </c>
    </row>
    <row r="38" spans="1:5" hidden="1" outlineLevel="1" x14ac:dyDescent="0.25">
      <c r="A38" s="32" t="s">
        <v>54</v>
      </c>
      <c r="B38" s="33" t="s">
        <v>44</v>
      </c>
    </row>
    <row r="39" spans="1:5" collapsed="1" x14ac:dyDescent="0.25">
      <c r="A39" s="28" t="s">
        <v>56</v>
      </c>
      <c r="B39" s="30"/>
      <c r="D39" s="29" t="s">
        <v>114</v>
      </c>
    </row>
    <row r="40" spans="1:5" x14ac:dyDescent="0.25">
      <c r="A40" s="32" t="s">
        <v>57</v>
      </c>
      <c r="B40" s="33" t="s">
        <v>26</v>
      </c>
      <c r="D40" t="s">
        <v>116</v>
      </c>
    </row>
    <row r="41" spans="1:5" x14ac:dyDescent="0.25">
      <c r="A41" s="32" t="s">
        <v>58</v>
      </c>
      <c r="B41" s="33" t="s">
        <v>59</v>
      </c>
      <c r="D41" t="s">
        <v>116</v>
      </c>
    </row>
    <row r="42" spans="1:5" x14ac:dyDescent="0.25">
      <c r="A42" s="32" t="s">
        <v>60</v>
      </c>
      <c r="B42" s="33" t="s">
        <v>26</v>
      </c>
      <c r="D42" t="s">
        <v>116</v>
      </c>
    </row>
    <row r="43" spans="1:5" x14ac:dyDescent="0.25">
      <c r="A43" s="32" t="s">
        <v>61</v>
      </c>
      <c r="B43" s="33" t="s">
        <v>59</v>
      </c>
      <c r="D43" t="s">
        <v>116</v>
      </c>
    </row>
    <row r="44" spans="1:5" x14ac:dyDescent="0.25">
      <c r="A44" s="28" t="s">
        <v>62</v>
      </c>
      <c r="B44" s="30"/>
      <c r="D44" s="29" t="s">
        <v>126</v>
      </c>
      <c r="E44" s="107"/>
    </row>
    <row r="45" spans="1:5" x14ac:dyDescent="0.25">
      <c r="A45" s="32" t="s">
        <v>53</v>
      </c>
      <c r="B45" s="33" t="s">
        <v>44</v>
      </c>
      <c r="E45" s="107"/>
    </row>
    <row r="46" spans="1:5" x14ac:dyDescent="0.25">
      <c r="A46" s="32" t="s">
        <v>54</v>
      </c>
      <c r="B46" s="33" t="s">
        <v>44</v>
      </c>
    </row>
    <row r="47" spans="1:5" x14ac:dyDescent="0.25">
      <c r="A47" s="32" t="s">
        <v>63</v>
      </c>
      <c r="B47" s="33" t="s">
        <v>44</v>
      </c>
      <c r="D47" t="s">
        <v>127</v>
      </c>
      <c r="E47" s="107"/>
    </row>
    <row r="48" spans="1:5" x14ac:dyDescent="0.25">
      <c r="A48" s="32" t="s">
        <v>47</v>
      </c>
      <c r="B48" s="33" t="s">
        <v>44</v>
      </c>
    </row>
    <row r="49" spans="1:4" x14ac:dyDescent="0.25">
      <c r="A49" s="28"/>
      <c r="B49" s="30"/>
    </row>
    <row r="50" spans="1:4" x14ac:dyDescent="0.25">
      <c r="A50" s="61"/>
      <c r="B50" s="62"/>
    </row>
    <row r="51" spans="1:4" ht="15.75" x14ac:dyDescent="0.25">
      <c r="A51" s="24" t="s">
        <v>64</v>
      </c>
      <c r="B51" s="63"/>
    </row>
    <row r="52" spans="1:4" x14ac:dyDescent="0.25">
      <c r="A52" s="28" t="s">
        <v>71</v>
      </c>
      <c r="B52" s="28"/>
      <c r="D52" s="29" t="s">
        <v>112</v>
      </c>
    </row>
    <row r="53" spans="1:4" x14ac:dyDescent="0.25">
      <c r="A53" s="32" t="s">
        <v>65</v>
      </c>
      <c r="B53" s="33" t="s">
        <v>26</v>
      </c>
    </row>
    <row r="54" spans="1:4" x14ac:dyDescent="0.25">
      <c r="A54" s="32" t="s">
        <v>66</v>
      </c>
      <c r="B54" s="33" t="s">
        <v>26</v>
      </c>
    </row>
    <row r="55" spans="1:4" x14ac:dyDescent="0.25">
      <c r="A55" s="32" t="s">
        <v>67</v>
      </c>
      <c r="B55" s="33" t="s">
        <v>26</v>
      </c>
    </row>
    <row r="56" spans="1:4" x14ac:dyDescent="0.25">
      <c r="A56" s="32" t="s">
        <v>68</v>
      </c>
      <c r="B56" s="33" t="s">
        <v>26</v>
      </c>
    </row>
    <row r="57" spans="1:4" x14ac:dyDescent="0.25">
      <c r="A57" s="32" t="s">
        <v>69</v>
      </c>
      <c r="B57" s="33" t="s">
        <v>26</v>
      </c>
    </row>
    <row r="58" spans="1:4" x14ac:dyDescent="0.25">
      <c r="A58" s="32" t="s">
        <v>70</v>
      </c>
      <c r="B58" s="33" t="s">
        <v>26</v>
      </c>
    </row>
    <row r="59" spans="1:4" x14ac:dyDescent="0.25">
      <c r="A59" s="28" t="s">
        <v>72</v>
      </c>
      <c r="B59" s="28"/>
      <c r="D59" s="29" t="s">
        <v>112</v>
      </c>
    </row>
    <row r="60" spans="1:4" x14ac:dyDescent="0.25">
      <c r="A60" s="32" t="s">
        <v>65</v>
      </c>
      <c r="B60" s="33" t="s">
        <v>26</v>
      </c>
    </row>
    <row r="61" spans="1:4" x14ac:dyDescent="0.25">
      <c r="A61" s="32" t="s">
        <v>66</v>
      </c>
      <c r="B61" s="33" t="s">
        <v>26</v>
      </c>
    </row>
    <row r="62" spans="1:4" x14ac:dyDescent="0.25">
      <c r="A62" s="32" t="s">
        <v>67</v>
      </c>
      <c r="B62" s="33" t="s">
        <v>26</v>
      </c>
    </row>
    <row r="63" spans="1:4" x14ac:dyDescent="0.25">
      <c r="A63" s="32" t="s">
        <v>68</v>
      </c>
      <c r="B63" s="33" t="s">
        <v>26</v>
      </c>
    </row>
    <row r="64" spans="1:4" x14ac:dyDescent="0.25">
      <c r="A64" s="32" t="s">
        <v>69</v>
      </c>
      <c r="B64" s="33" t="s">
        <v>26</v>
      </c>
    </row>
    <row r="65" spans="1:19" x14ac:dyDescent="0.25">
      <c r="A65" s="32" t="s">
        <v>70</v>
      </c>
      <c r="B65" s="33" t="s">
        <v>26</v>
      </c>
    </row>
    <row r="66" spans="1:19" hidden="1" outlineLevel="1" x14ac:dyDescent="0.25">
      <c r="A66" s="28" t="s">
        <v>73</v>
      </c>
      <c r="B66" s="28"/>
    </row>
    <row r="67" spans="1:19" hidden="1" outlineLevel="1" x14ac:dyDescent="0.25">
      <c r="A67" s="32" t="s">
        <v>65</v>
      </c>
      <c r="B67" s="33" t="s">
        <v>44</v>
      </c>
    </row>
    <row r="68" spans="1:19" hidden="1" outlineLevel="1" x14ac:dyDescent="0.25">
      <c r="A68" s="32" t="s">
        <v>66</v>
      </c>
      <c r="B68" s="33" t="s">
        <v>44</v>
      </c>
    </row>
    <row r="69" spans="1:19" hidden="1" outlineLevel="1" x14ac:dyDescent="0.25">
      <c r="A69" s="32" t="s">
        <v>67</v>
      </c>
      <c r="B69" s="33" t="s">
        <v>44</v>
      </c>
    </row>
    <row r="70" spans="1:19" hidden="1" outlineLevel="1" x14ac:dyDescent="0.25">
      <c r="A70" s="32" t="s">
        <v>68</v>
      </c>
      <c r="B70" s="33" t="s">
        <v>44</v>
      </c>
    </row>
    <row r="71" spans="1:19" hidden="1" outlineLevel="1" x14ac:dyDescent="0.25">
      <c r="A71" s="32" t="s">
        <v>69</v>
      </c>
      <c r="B71" s="33" t="s">
        <v>44</v>
      </c>
    </row>
    <row r="72" spans="1:19" hidden="1" outlineLevel="1" x14ac:dyDescent="0.25">
      <c r="A72" s="32" t="s">
        <v>70</v>
      </c>
      <c r="B72" s="33" t="s">
        <v>44</v>
      </c>
    </row>
    <row r="73" spans="1:19" collapsed="1" x14ac:dyDescent="0.25">
      <c r="A73" s="28" t="s">
        <v>74</v>
      </c>
      <c r="B73" s="28"/>
      <c r="D73" s="29" t="s">
        <v>112</v>
      </c>
    </row>
    <row r="74" spans="1:19" x14ac:dyDescent="0.25">
      <c r="A74" s="32" t="s">
        <v>65</v>
      </c>
      <c r="B74" s="33" t="s">
        <v>107</v>
      </c>
      <c r="C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</row>
    <row r="75" spans="1:19" x14ac:dyDescent="0.25">
      <c r="A75" s="32" t="s">
        <v>66</v>
      </c>
      <c r="B75" s="33" t="s">
        <v>107</v>
      </c>
      <c r="C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</row>
    <row r="76" spans="1:19" x14ac:dyDescent="0.25">
      <c r="A76" s="32" t="s">
        <v>67</v>
      </c>
      <c r="B76" s="33" t="s">
        <v>107</v>
      </c>
      <c r="C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</row>
    <row r="77" spans="1:19" x14ac:dyDescent="0.25">
      <c r="A77" s="32" t="s">
        <v>68</v>
      </c>
      <c r="B77" s="33" t="s">
        <v>107</v>
      </c>
      <c r="C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</row>
    <row r="78" spans="1:19" x14ac:dyDescent="0.25">
      <c r="A78" s="32" t="s">
        <v>69</v>
      </c>
      <c r="B78" s="33" t="s">
        <v>107</v>
      </c>
      <c r="C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</row>
    <row r="79" spans="1:19" x14ac:dyDescent="0.25">
      <c r="A79" s="32" t="s">
        <v>70</v>
      </c>
      <c r="B79" s="33" t="s">
        <v>107</v>
      </c>
      <c r="C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</row>
    <row r="80" spans="1:19" hidden="1" outlineLevel="1" x14ac:dyDescent="0.25">
      <c r="A80" s="28" t="s">
        <v>75</v>
      </c>
      <c r="B80" s="28"/>
    </row>
    <row r="81" spans="1:17" hidden="1" outlineLevel="1" x14ac:dyDescent="0.25">
      <c r="A81" s="32" t="s">
        <v>65</v>
      </c>
      <c r="B81" s="33" t="s">
        <v>107</v>
      </c>
      <c r="C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</row>
    <row r="82" spans="1:17" hidden="1" outlineLevel="1" x14ac:dyDescent="0.25">
      <c r="A82" s="32" t="s">
        <v>66</v>
      </c>
      <c r="B82" s="33" t="s">
        <v>107</v>
      </c>
      <c r="C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</row>
    <row r="83" spans="1:17" hidden="1" outlineLevel="1" x14ac:dyDescent="0.25">
      <c r="A83" s="32" t="s">
        <v>67</v>
      </c>
      <c r="B83" s="33" t="s">
        <v>107</v>
      </c>
      <c r="C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</row>
    <row r="84" spans="1:17" hidden="1" outlineLevel="1" x14ac:dyDescent="0.25">
      <c r="A84" s="32" t="s">
        <v>68</v>
      </c>
      <c r="B84" s="33" t="s">
        <v>107</v>
      </c>
      <c r="C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</row>
    <row r="85" spans="1:17" hidden="1" outlineLevel="1" x14ac:dyDescent="0.25">
      <c r="A85" s="32" t="s">
        <v>69</v>
      </c>
      <c r="B85" s="33" t="s">
        <v>107</v>
      </c>
      <c r="C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</row>
    <row r="86" spans="1:17" hidden="1" outlineLevel="1" x14ac:dyDescent="0.25">
      <c r="A86" s="32" t="s">
        <v>70</v>
      </c>
      <c r="B86" s="33" t="s">
        <v>107</v>
      </c>
      <c r="C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</row>
    <row r="87" spans="1:17" collapsed="1" x14ac:dyDescent="0.25">
      <c r="A87" s="28" t="s">
        <v>62</v>
      </c>
      <c r="B87" s="28"/>
      <c r="D87" s="29" t="s">
        <v>112</v>
      </c>
    </row>
    <row r="88" spans="1:17" x14ac:dyDescent="0.25">
      <c r="A88" s="32" t="s">
        <v>65</v>
      </c>
      <c r="B88" s="33" t="s">
        <v>44</v>
      </c>
      <c r="C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</row>
    <row r="89" spans="1:17" x14ac:dyDescent="0.25">
      <c r="A89" s="32" t="s">
        <v>66</v>
      </c>
      <c r="B89" s="33" t="s">
        <v>44</v>
      </c>
      <c r="C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</row>
    <row r="90" spans="1:17" x14ac:dyDescent="0.25">
      <c r="A90" s="32" t="s">
        <v>67</v>
      </c>
      <c r="B90" s="33" t="s">
        <v>44</v>
      </c>
      <c r="C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</row>
    <row r="91" spans="1:17" x14ac:dyDescent="0.25">
      <c r="A91" s="32" t="s">
        <v>68</v>
      </c>
      <c r="B91" s="33" t="s">
        <v>44</v>
      </c>
      <c r="C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</row>
    <row r="92" spans="1:17" x14ac:dyDescent="0.25">
      <c r="A92" s="32" t="s">
        <v>69</v>
      </c>
      <c r="B92" s="33" t="s">
        <v>44</v>
      </c>
      <c r="C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</row>
    <row r="93" spans="1:17" x14ac:dyDescent="0.25">
      <c r="A93" s="32" t="s">
        <v>70</v>
      </c>
      <c r="B93" s="33" t="s">
        <v>44</v>
      </c>
      <c r="C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</row>
    <row r="94" spans="1:17" x14ac:dyDescent="0.25">
      <c r="A94" s="28"/>
      <c r="B94" s="30"/>
    </row>
    <row r="95" spans="1:17" x14ac:dyDescent="0.25">
      <c r="B95" s="33"/>
    </row>
    <row r="96" spans="1:17" ht="15.75" x14ac:dyDescent="0.25">
      <c r="A96" s="24" t="s">
        <v>76</v>
      </c>
      <c r="B96" s="33"/>
    </row>
    <row r="97" spans="1:4" x14ac:dyDescent="0.25">
      <c r="A97" s="28"/>
      <c r="B97" s="74"/>
      <c r="D97" s="29" t="s">
        <v>114</v>
      </c>
    </row>
    <row r="98" spans="1:4" hidden="1" x14ac:dyDescent="0.25">
      <c r="A98" s="75" t="s">
        <v>77</v>
      </c>
      <c r="B98" s="76" t="s">
        <v>26</v>
      </c>
    </row>
    <row r="99" spans="1:4" hidden="1" x14ac:dyDescent="0.25">
      <c r="A99" s="61" t="s">
        <v>78</v>
      </c>
      <c r="B99" s="33" t="s">
        <v>28</v>
      </c>
    </row>
    <row r="100" spans="1:4" hidden="1" x14ac:dyDescent="0.25">
      <c r="A100" s="75" t="s">
        <v>79</v>
      </c>
      <c r="B100" s="76" t="s">
        <v>26</v>
      </c>
    </row>
    <row r="101" spans="1:4" hidden="1" x14ac:dyDescent="0.25">
      <c r="A101" s="61" t="s">
        <v>80</v>
      </c>
      <c r="B101" s="33" t="s">
        <v>26</v>
      </c>
    </row>
    <row r="102" spans="1:4" hidden="1" x14ac:dyDescent="0.25">
      <c r="A102" s="61" t="s">
        <v>81</v>
      </c>
      <c r="B102" s="33" t="s">
        <v>28</v>
      </c>
    </row>
    <row r="103" spans="1:4" hidden="1" x14ac:dyDescent="0.25">
      <c r="A103" s="61" t="s">
        <v>82</v>
      </c>
      <c r="B103" s="33" t="s">
        <v>26</v>
      </c>
    </row>
    <row r="104" spans="1:4" hidden="1" x14ac:dyDescent="0.25">
      <c r="A104" s="61" t="s">
        <v>83</v>
      </c>
      <c r="B104" s="33" t="s">
        <v>28</v>
      </c>
    </row>
    <row r="105" spans="1:4" hidden="1" x14ac:dyDescent="0.25">
      <c r="A105" s="61" t="s">
        <v>84</v>
      </c>
      <c r="B105" s="33" t="s">
        <v>26</v>
      </c>
    </row>
    <row r="106" spans="1:4" hidden="1" x14ac:dyDescent="0.25">
      <c r="A106" s="61" t="s">
        <v>85</v>
      </c>
      <c r="B106" s="33" t="s">
        <v>28</v>
      </c>
    </row>
    <row r="107" spans="1:4" x14ac:dyDescent="0.25">
      <c r="A107" s="75" t="s">
        <v>86</v>
      </c>
      <c r="B107" s="33"/>
      <c r="D107" t="s">
        <v>115</v>
      </c>
    </row>
    <row r="108" spans="1:4" hidden="1" x14ac:dyDescent="0.25">
      <c r="A108" s="61" t="s">
        <v>87</v>
      </c>
      <c r="B108" s="33" t="s">
        <v>26</v>
      </c>
    </row>
    <row r="109" spans="1:4" hidden="1" x14ac:dyDescent="0.25">
      <c r="A109" s="61" t="s">
        <v>88</v>
      </c>
      <c r="B109" s="33" t="s">
        <v>26</v>
      </c>
    </row>
    <row r="110" spans="1:4" hidden="1" x14ac:dyDescent="0.25">
      <c r="A110" s="61" t="s">
        <v>89</v>
      </c>
      <c r="B110" s="33" t="s">
        <v>26</v>
      </c>
    </row>
    <row r="111" spans="1:4" x14ac:dyDescent="0.25">
      <c r="A111" s="84" t="s">
        <v>90</v>
      </c>
      <c r="B111" s="85"/>
      <c r="D111" t="s">
        <v>119</v>
      </c>
    </row>
    <row r="112" spans="1:4" hidden="1" x14ac:dyDescent="0.25">
      <c r="A112" s="47" t="s">
        <v>91</v>
      </c>
      <c r="B112" s="88" t="s">
        <v>26</v>
      </c>
    </row>
    <row r="113" spans="1:4" hidden="1" x14ac:dyDescent="0.25">
      <c r="A113" s="47" t="s">
        <v>91</v>
      </c>
      <c r="B113" s="88" t="s">
        <v>28</v>
      </c>
    </row>
    <row r="114" spans="1:4" x14ac:dyDescent="0.25">
      <c r="A114" s="28" t="s">
        <v>31</v>
      </c>
      <c r="B114" s="74"/>
      <c r="D114" s="29" t="s">
        <v>114</v>
      </c>
    </row>
    <row r="115" spans="1:4" x14ac:dyDescent="0.25">
      <c r="A115" s="32" t="s">
        <v>92</v>
      </c>
      <c r="B115" s="33" t="s">
        <v>26</v>
      </c>
      <c r="D115" t="s">
        <v>115</v>
      </c>
    </row>
    <row r="116" spans="1:4" x14ac:dyDescent="0.25">
      <c r="A116" s="32" t="s">
        <v>93</v>
      </c>
      <c r="B116" s="33" t="s">
        <v>26</v>
      </c>
      <c r="D116" t="s">
        <v>115</v>
      </c>
    </row>
    <row r="117" spans="1:4" x14ac:dyDescent="0.25">
      <c r="A117" s="32" t="s">
        <v>94</v>
      </c>
      <c r="B117" s="33" t="s">
        <v>26</v>
      </c>
      <c r="D117" t="s">
        <v>115</v>
      </c>
    </row>
    <row r="118" spans="1:4" hidden="1" x14ac:dyDescent="0.25">
      <c r="A118" s="32" t="s">
        <v>95</v>
      </c>
      <c r="B118" s="33" t="s">
        <v>26</v>
      </c>
    </row>
    <row r="119" spans="1:4" hidden="1" x14ac:dyDescent="0.25">
      <c r="A119" s="32" t="s">
        <v>96</v>
      </c>
      <c r="B119" s="33" t="s">
        <v>26</v>
      </c>
    </row>
    <row r="120" spans="1:4" hidden="1" x14ac:dyDescent="0.25">
      <c r="A120" s="28" t="s">
        <v>97</v>
      </c>
      <c r="B120" s="74"/>
      <c r="D120" t="s">
        <v>114</v>
      </c>
    </row>
    <row r="121" spans="1:4" hidden="1" x14ac:dyDescent="0.25">
      <c r="A121" s="32" t="s">
        <v>92</v>
      </c>
      <c r="B121" s="33" t="s">
        <v>26</v>
      </c>
    </row>
    <row r="122" spans="1:4" hidden="1" x14ac:dyDescent="0.25">
      <c r="A122" s="32" t="s">
        <v>93</v>
      </c>
      <c r="B122" s="33" t="s">
        <v>26</v>
      </c>
    </row>
    <row r="123" spans="1:4" hidden="1" x14ac:dyDescent="0.25">
      <c r="A123" s="32" t="s">
        <v>94</v>
      </c>
      <c r="B123" s="33" t="s">
        <v>26</v>
      </c>
    </row>
    <row r="124" spans="1:4" hidden="1" x14ac:dyDescent="0.25">
      <c r="A124" s="32" t="s">
        <v>98</v>
      </c>
      <c r="B124" s="33" t="s">
        <v>26</v>
      </c>
    </row>
    <row r="125" spans="1:4" hidden="1" x14ac:dyDescent="0.25">
      <c r="A125" s="32" t="s">
        <v>99</v>
      </c>
      <c r="B125" s="33" t="s">
        <v>26</v>
      </c>
    </row>
    <row r="126" spans="1:4" hidden="1" x14ac:dyDescent="0.25">
      <c r="A126" s="32" t="s">
        <v>100</v>
      </c>
      <c r="B126" s="33" t="s">
        <v>26</v>
      </c>
    </row>
    <row r="127" spans="1:4" hidden="1" x14ac:dyDescent="0.25">
      <c r="A127" s="32" t="s">
        <v>96</v>
      </c>
      <c r="B127" s="33" t="s">
        <v>26</v>
      </c>
    </row>
    <row r="128" spans="1:4" x14ac:dyDescent="0.25">
      <c r="A128" s="28" t="s">
        <v>101</v>
      </c>
      <c r="B128" s="74"/>
      <c r="D128" s="29" t="s">
        <v>114</v>
      </c>
    </row>
    <row r="129" spans="1:4" x14ac:dyDescent="0.25">
      <c r="A129" s="32" t="s">
        <v>92</v>
      </c>
      <c r="B129" s="33" t="s">
        <v>28</v>
      </c>
      <c r="D129" t="s">
        <v>115</v>
      </c>
    </row>
    <row r="130" spans="1:4" x14ac:dyDescent="0.25">
      <c r="A130" s="32" t="s">
        <v>93</v>
      </c>
      <c r="B130" s="33" t="s">
        <v>28</v>
      </c>
      <c r="D130" t="s">
        <v>115</v>
      </c>
    </row>
    <row r="131" spans="1:4" x14ac:dyDescent="0.25">
      <c r="A131" s="32" t="s">
        <v>98</v>
      </c>
      <c r="B131" s="33" t="s">
        <v>28</v>
      </c>
      <c r="D131" t="s">
        <v>115</v>
      </c>
    </row>
    <row r="132" spans="1:4" hidden="1" x14ac:dyDescent="0.25">
      <c r="A132" s="32" t="s">
        <v>99</v>
      </c>
      <c r="B132" s="33" t="s">
        <v>28</v>
      </c>
    </row>
    <row r="133" spans="1:4" hidden="1" x14ac:dyDescent="0.25">
      <c r="A133" s="32" t="s">
        <v>100</v>
      </c>
      <c r="B133" s="33" t="s">
        <v>28</v>
      </c>
    </row>
    <row r="134" spans="1:4" hidden="1" x14ac:dyDescent="0.25">
      <c r="A134" s="32" t="s">
        <v>96</v>
      </c>
      <c r="B134" s="33" t="s">
        <v>28</v>
      </c>
    </row>
    <row r="135" spans="1:4" x14ac:dyDescent="0.25">
      <c r="A135" s="28" t="s">
        <v>42</v>
      </c>
      <c r="B135" s="74"/>
      <c r="D135" s="29" t="s">
        <v>114</v>
      </c>
    </row>
    <row r="136" spans="1:4" x14ac:dyDescent="0.25">
      <c r="A136" s="32" t="s">
        <v>92</v>
      </c>
      <c r="B136" s="33" t="s">
        <v>44</v>
      </c>
      <c r="D136" t="s">
        <v>115</v>
      </c>
    </row>
    <row r="137" spans="1:4" x14ac:dyDescent="0.25">
      <c r="A137" s="32" t="s">
        <v>93</v>
      </c>
      <c r="B137" s="33" t="s">
        <v>44</v>
      </c>
      <c r="D137" t="s">
        <v>115</v>
      </c>
    </row>
    <row r="138" spans="1:4" x14ac:dyDescent="0.25">
      <c r="A138" s="32" t="s">
        <v>94</v>
      </c>
      <c r="B138" s="33" t="s">
        <v>44</v>
      </c>
      <c r="D138" t="s">
        <v>115</v>
      </c>
    </row>
    <row r="139" spans="1:4" hidden="1" x14ac:dyDescent="0.25">
      <c r="A139" s="32" t="s">
        <v>98</v>
      </c>
      <c r="B139" s="33" t="s">
        <v>44</v>
      </c>
    </row>
    <row r="140" spans="1:4" hidden="1" x14ac:dyDescent="0.25">
      <c r="A140" s="32" t="s">
        <v>99</v>
      </c>
      <c r="B140" s="33" t="s">
        <v>44</v>
      </c>
    </row>
    <row r="141" spans="1:4" hidden="1" x14ac:dyDescent="0.25">
      <c r="A141" s="32" t="s">
        <v>100</v>
      </c>
      <c r="B141" s="33" t="s">
        <v>44</v>
      </c>
    </row>
    <row r="142" spans="1:4" hidden="1" outlineLevel="1" x14ac:dyDescent="0.25">
      <c r="A142" s="28" t="s">
        <v>75</v>
      </c>
      <c r="B142" s="74"/>
    </row>
    <row r="143" spans="1:4" hidden="1" outlineLevel="1" x14ac:dyDescent="0.25">
      <c r="A143" s="32" t="s">
        <v>92</v>
      </c>
      <c r="B143" s="33" t="s">
        <v>102</v>
      </c>
    </row>
    <row r="144" spans="1:4" hidden="1" outlineLevel="1" x14ac:dyDescent="0.25">
      <c r="A144" s="32" t="s">
        <v>93</v>
      </c>
      <c r="B144" s="33" t="s">
        <v>102</v>
      </c>
    </row>
    <row r="145" spans="1:4" hidden="1" outlineLevel="1" x14ac:dyDescent="0.25">
      <c r="A145" s="32" t="s">
        <v>94</v>
      </c>
      <c r="B145" s="33" t="s">
        <v>102</v>
      </c>
    </row>
    <row r="146" spans="1:4" hidden="1" outlineLevel="1" x14ac:dyDescent="0.25">
      <c r="A146" s="32" t="s">
        <v>98</v>
      </c>
      <c r="B146" s="33" t="s">
        <v>102</v>
      </c>
    </row>
    <row r="147" spans="1:4" hidden="1" outlineLevel="1" x14ac:dyDescent="0.25">
      <c r="A147" s="32" t="s">
        <v>99</v>
      </c>
      <c r="B147" s="33" t="s">
        <v>102</v>
      </c>
    </row>
    <row r="148" spans="1:4" hidden="1" outlineLevel="1" x14ac:dyDescent="0.25">
      <c r="A148" s="32" t="s">
        <v>100</v>
      </c>
      <c r="B148" s="33" t="s">
        <v>102</v>
      </c>
    </row>
    <row r="149" spans="1:4" hidden="1" outlineLevel="1" x14ac:dyDescent="0.25">
      <c r="A149" s="32" t="s">
        <v>103</v>
      </c>
      <c r="B149" s="33" t="s">
        <v>102</v>
      </c>
    </row>
    <row r="150" spans="1:4" collapsed="1" x14ac:dyDescent="0.25">
      <c r="A150" s="28" t="s">
        <v>52</v>
      </c>
      <c r="B150" s="74"/>
      <c r="D150" s="29" t="s">
        <v>114</v>
      </c>
    </row>
    <row r="151" spans="1:4" x14ac:dyDescent="0.25">
      <c r="A151" s="32" t="s">
        <v>92</v>
      </c>
      <c r="B151" s="33" t="s">
        <v>28</v>
      </c>
      <c r="D151" t="s">
        <v>115</v>
      </c>
    </row>
    <row r="152" spans="1:4" x14ac:dyDescent="0.25">
      <c r="A152" s="32" t="s">
        <v>93</v>
      </c>
      <c r="B152" s="33" t="s">
        <v>28</v>
      </c>
      <c r="D152" t="s">
        <v>115</v>
      </c>
    </row>
    <row r="153" spans="1:4" x14ac:dyDescent="0.25">
      <c r="A153" s="32" t="s">
        <v>94</v>
      </c>
      <c r="B153" s="33" t="s">
        <v>28</v>
      </c>
      <c r="D153" t="s">
        <v>115</v>
      </c>
    </row>
    <row r="154" spans="1:4" x14ac:dyDescent="0.25">
      <c r="A154" s="28" t="s">
        <v>62</v>
      </c>
      <c r="B154" s="74"/>
      <c r="D154" s="29" t="s">
        <v>114</v>
      </c>
    </row>
    <row r="155" spans="1:4" x14ac:dyDescent="0.25">
      <c r="A155" s="32" t="s">
        <v>92</v>
      </c>
      <c r="B155" s="33" t="s">
        <v>44</v>
      </c>
    </row>
    <row r="156" spans="1:4" x14ac:dyDescent="0.25">
      <c r="A156" s="32" t="s">
        <v>93</v>
      </c>
      <c r="B156" s="33" t="s">
        <v>44</v>
      </c>
    </row>
    <row r="157" spans="1:4" x14ac:dyDescent="0.25">
      <c r="A157" s="32" t="s">
        <v>94</v>
      </c>
      <c r="B157" s="33" t="s">
        <v>44</v>
      </c>
    </row>
    <row r="158" spans="1:4" hidden="1" x14ac:dyDescent="0.25">
      <c r="A158" s="32" t="s">
        <v>95</v>
      </c>
      <c r="B158" s="33" t="s">
        <v>44</v>
      </c>
    </row>
    <row r="159" spans="1:4" hidden="1" x14ac:dyDescent="0.25">
      <c r="A159" s="32" t="s">
        <v>96</v>
      </c>
      <c r="B159" s="33" t="s">
        <v>44</v>
      </c>
    </row>
    <row r="160" spans="1:4" x14ac:dyDescent="0.25">
      <c r="A160" s="28"/>
      <c r="B160" s="74"/>
    </row>
    <row r="161" spans="1:4" ht="15.75" x14ac:dyDescent="0.25">
      <c r="A161" s="24" t="s">
        <v>104</v>
      </c>
      <c r="B161" s="33"/>
    </row>
    <row r="162" spans="1:4" x14ac:dyDescent="0.25">
      <c r="A162" s="28"/>
      <c r="B162" s="74"/>
      <c r="D162" s="29" t="s">
        <v>112</v>
      </c>
    </row>
    <row r="163" spans="1:4" x14ac:dyDescent="0.25">
      <c r="A163" s="32" t="s">
        <v>31</v>
      </c>
      <c r="B163" s="33" t="s">
        <v>26</v>
      </c>
    </row>
    <row r="164" spans="1:4" x14ac:dyDescent="0.25">
      <c r="A164" s="32" t="s">
        <v>101</v>
      </c>
      <c r="B164" s="33" t="s">
        <v>28</v>
      </c>
    </row>
    <row r="165" spans="1:4" x14ac:dyDescent="0.25">
      <c r="A165" s="32" t="s">
        <v>75</v>
      </c>
      <c r="B165" s="33"/>
    </row>
    <row r="166" spans="1:4" x14ac:dyDescent="0.25">
      <c r="A166" s="28" t="s">
        <v>62</v>
      </c>
      <c r="B166" s="74"/>
    </row>
    <row r="168" spans="1:4" ht="15.75" x14ac:dyDescent="0.25">
      <c r="A168" s="24" t="s">
        <v>120</v>
      </c>
      <c r="B168" s="33"/>
    </row>
    <row r="169" spans="1:4" x14ac:dyDescent="0.25">
      <c r="A169" s="28"/>
      <c r="B169" s="74"/>
      <c r="D169" s="29" t="s">
        <v>111</v>
      </c>
    </row>
    <row r="170" spans="1:4" x14ac:dyDescent="0.25">
      <c r="A170" s="32" t="s">
        <v>106</v>
      </c>
      <c r="B170" s="33" t="s">
        <v>26</v>
      </c>
    </row>
    <row r="171" spans="1:4" x14ac:dyDescent="0.25">
      <c r="A171" s="32" t="s">
        <v>75</v>
      </c>
      <c r="B171" s="33"/>
    </row>
    <row r="172" spans="1:4" x14ac:dyDescent="0.25">
      <c r="A172" s="28" t="s">
        <v>62</v>
      </c>
      <c r="B172" s="7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031A-E4A6-41B0-A66C-FE6DE579D29E}">
  <dimension ref="A1:BJ74"/>
  <sheetViews>
    <sheetView showGridLines="0"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S18" sqref="S18"/>
    </sheetView>
  </sheetViews>
  <sheetFormatPr defaultColWidth="8.7109375" defaultRowHeight="15" outlineLevelRow="1" outlineLevelCol="1" x14ac:dyDescent="0.25"/>
  <cols>
    <col min="1" max="1" width="1.28515625" style="117" customWidth="1"/>
    <col min="2" max="2" width="30.85546875" style="117" customWidth="1"/>
    <col min="3" max="3" width="12.42578125" style="117" customWidth="1"/>
    <col min="4" max="4" width="11.28515625" style="117" customWidth="1"/>
    <col min="5" max="5" width="16.42578125" style="117" customWidth="1"/>
    <col min="6" max="6" width="9.140625" style="117" hidden="1" customWidth="1" outlineLevel="1" collapsed="1"/>
    <col min="7" max="8" width="9.42578125" style="117" hidden="1" customWidth="1" outlineLevel="1"/>
    <col min="9" max="9" width="9" style="117" hidden="1" customWidth="1" outlineLevel="1"/>
    <col min="10" max="13" width="9.7109375" style="117" hidden="1" customWidth="1" outlineLevel="1"/>
    <col min="14" max="14" width="10.140625" style="117" hidden="1" customWidth="1" outlineLevel="1"/>
    <col min="15" max="15" width="10.28515625" style="117" hidden="1" customWidth="1" outlineLevel="1"/>
    <col min="16" max="16" width="10.140625" style="117" hidden="1" customWidth="1" outlineLevel="1"/>
    <col min="17" max="17" width="9.7109375" style="117" customWidth="1" collapsed="1"/>
    <col min="18" max="18" width="9.42578125" style="117" customWidth="1"/>
    <col min="19" max="19" width="17.28515625" style="117" customWidth="1"/>
    <col min="20" max="22" width="8.28515625" style="117" hidden="1" customWidth="1" outlineLevel="1"/>
    <col min="23" max="33" width="9.5703125" style="117" hidden="1" customWidth="1" outlineLevel="1"/>
    <col min="34" max="34" width="11" style="117" customWidth="1" collapsed="1"/>
    <col min="35" max="35" width="9.42578125" style="117" customWidth="1"/>
    <col min="36" max="47" width="9.7109375" style="117" customWidth="1" outlineLevel="1"/>
    <col min="48" max="48" width="11" style="117" customWidth="1"/>
    <col min="49" max="49" width="8.7109375" style="117" hidden="1" customWidth="1" outlineLevel="1"/>
    <col min="50" max="51" width="9.42578125" style="117" hidden="1" customWidth="1" outlineLevel="1"/>
    <col min="52" max="52" width="9" style="117" hidden="1" customWidth="1" outlineLevel="1"/>
    <col min="53" max="55" width="9.7109375" style="117" hidden="1" customWidth="1" outlineLevel="1"/>
    <col min="56" max="56" width="8.42578125" style="117" hidden="1" customWidth="1" outlineLevel="1"/>
    <col min="57" max="57" width="8.7109375" style="117" hidden="1" customWidth="1" outlineLevel="1"/>
    <col min="58" max="58" width="8.42578125" style="117" hidden="1" customWidth="1" outlineLevel="1"/>
    <col min="59" max="59" width="9" style="117" hidden="1" customWidth="1" outlineLevel="1"/>
    <col min="60" max="60" width="9.7109375" style="117" hidden="1" customWidth="1" outlineLevel="1"/>
    <col min="61" max="61" width="10.140625" style="117" hidden="1" customWidth="1" outlineLevel="1"/>
    <col min="62" max="62" width="18.28515625" style="117" customWidth="1" collapsed="1"/>
    <col min="63" max="63" width="15.28515625" style="117" customWidth="1"/>
    <col min="64" max="16384" width="8.7109375" style="117"/>
  </cols>
  <sheetData>
    <row r="1" spans="1:62" ht="15.75" customHeight="1" x14ac:dyDescent="0.25">
      <c r="A1" s="108"/>
      <c r="B1" s="109"/>
      <c r="C1" s="110"/>
      <c r="D1" s="110"/>
      <c r="E1" s="110"/>
      <c r="F1" s="111">
        <v>45658</v>
      </c>
      <c r="G1" s="111">
        <v>45689</v>
      </c>
      <c r="H1" s="111">
        <v>45717</v>
      </c>
      <c r="I1" s="111">
        <v>45748</v>
      </c>
      <c r="J1" s="111">
        <v>45778</v>
      </c>
      <c r="K1" s="111">
        <v>45809</v>
      </c>
      <c r="L1" s="111">
        <v>45839</v>
      </c>
      <c r="M1" s="111">
        <v>45870</v>
      </c>
      <c r="N1" s="111">
        <v>45901</v>
      </c>
      <c r="O1" s="111">
        <v>45931</v>
      </c>
      <c r="P1" s="111">
        <v>45962</v>
      </c>
      <c r="Q1" s="111">
        <v>45992</v>
      </c>
      <c r="R1" s="112"/>
      <c r="S1" s="113"/>
      <c r="T1" s="114"/>
      <c r="U1" s="114"/>
      <c r="V1" s="114"/>
      <c r="W1" s="115">
        <v>46023</v>
      </c>
      <c r="X1" s="115">
        <v>46054</v>
      </c>
      <c r="Y1" s="115">
        <v>46082</v>
      </c>
      <c r="Z1" s="115">
        <v>46113</v>
      </c>
      <c r="AA1" s="115">
        <v>46143</v>
      </c>
      <c r="AB1" s="115">
        <v>46174</v>
      </c>
      <c r="AC1" s="115">
        <v>46204</v>
      </c>
      <c r="AD1" s="115">
        <v>46235</v>
      </c>
      <c r="AE1" s="115">
        <v>46266</v>
      </c>
      <c r="AF1" s="115">
        <v>46296</v>
      </c>
      <c r="AG1" s="115">
        <v>46327</v>
      </c>
      <c r="AH1" s="115">
        <v>46357</v>
      </c>
      <c r="AI1" s="116"/>
      <c r="AJ1" s="111">
        <v>46023</v>
      </c>
      <c r="AK1" s="111">
        <v>46054</v>
      </c>
      <c r="AL1" s="111">
        <v>46082</v>
      </c>
      <c r="AM1" s="111">
        <v>46113</v>
      </c>
      <c r="AN1" s="111">
        <v>46143</v>
      </c>
      <c r="AO1" s="111">
        <v>46174</v>
      </c>
      <c r="AP1" s="111">
        <v>46204</v>
      </c>
      <c r="AQ1" s="111">
        <v>46235</v>
      </c>
      <c r="AR1" s="111">
        <v>46266</v>
      </c>
      <c r="AS1" s="111">
        <v>46296</v>
      </c>
      <c r="AT1" s="111">
        <v>46327</v>
      </c>
      <c r="AU1" s="111">
        <v>46357</v>
      </c>
      <c r="AV1" s="112">
        <v>46023</v>
      </c>
      <c r="AW1" s="111">
        <v>46388</v>
      </c>
      <c r="AX1" s="111">
        <v>46419</v>
      </c>
      <c r="AY1" s="111">
        <v>46447</v>
      </c>
      <c r="AZ1" s="111">
        <v>46478</v>
      </c>
      <c r="BA1" s="111">
        <v>46508</v>
      </c>
      <c r="BB1" s="111">
        <v>46539</v>
      </c>
      <c r="BC1" s="111">
        <v>46569</v>
      </c>
      <c r="BD1" s="111">
        <v>46600</v>
      </c>
      <c r="BE1" s="111">
        <v>46631</v>
      </c>
      <c r="BF1" s="111">
        <v>46661</v>
      </c>
      <c r="BG1" s="111">
        <v>46692</v>
      </c>
      <c r="BH1" s="111">
        <v>46722</v>
      </c>
      <c r="BI1" s="112">
        <v>46388</v>
      </c>
    </row>
    <row r="2" spans="1:62" ht="15.75" customHeight="1" x14ac:dyDescent="0.25">
      <c r="A2" s="108"/>
      <c r="B2" s="109"/>
      <c r="C2" s="118"/>
      <c r="D2" s="110"/>
      <c r="E2" s="110"/>
      <c r="F2" s="111">
        <v>45688</v>
      </c>
      <c r="G2" s="111">
        <v>45716</v>
      </c>
      <c r="H2" s="111">
        <v>45747</v>
      </c>
      <c r="I2" s="111">
        <v>45777</v>
      </c>
      <c r="J2" s="111">
        <v>45808</v>
      </c>
      <c r="K2" s="111">
        <v>45838</v>
      </c>
      <c r="L2" s="111">
        <v>45869</v>
      </c>
      <c r="M2" s="111">
        <v>45900</v>
      </c>
      <c r="N2" s="111">
        <v>45930</v>
      </c>
      <c r="O2" s="111">
        <v>45961</v>
      </c>
      <c r="P2" s="111">
        <v>45991</v>
      </c>
      <c r="Q2" s="111">
        <v>46022</v>
      </c>
      <c r="R2" s="112"/>
      <c r="S2" s="113"/>
      <c r="T2" s="119"/>
      <c r="U2" s="114"/>
      <c r="V2" s="114"/>
      <c r="W2" s="115">
        <v>46053</v>
      </c>
      <c r="X2" s="115">
        <v>46081</v>
      </c>
      <c r="Y2" s="115">
        <v>46112</v>
      </c>
      <c r="Z2" s="115">
        <v>46142</v>
      </c>
      <c r="AA2" s="115">
        <v>46173</v>
      </c>
      <c r="AB2" s="115">
        <v>46203</v>
      </c>
      <c r="AC2" s="115">
        <v>46234</v>
      </c>
      <c r="AD2" s="115">
        <v>46265</v>
      </c>
      <c r="AE2" s="115">
        <v>46295</v>
      </c>
      <c r="AF2" s="115">
        <v>46326</v>
      </c>
      <c r="AG2" s="115">
        <v>46356</v>
      </c>
      <c r="AH2" s="115">
        <v>46387</v>
      </c>
      <c r="AI2" s="116"/>
      <c r="AJ2" s="111">
        <v>46053</v>
      </c>
      <c r="AK2" s="111">
        <v>46081</v>
      </c>
      <c r="AL2" s="111">
        <v>46112</v>
      </c>
      <c r="AM2" s="111">
        <v>46142</v>
      </c>
      <c r="AN2" s="111">
        <v>46173</v>
      </c>
      <c r="AO2" s="111">
        <v>46203</v>
      </c>
      <c r="AP2" s="111">
        <v>46234</v>
      </c>
      <c r="AQ2" s="111">
        <v>46265</v>
      </c>
      <c r="AR2" s="111">
        <v>46295</v>
      </c>
      <c r="AS2" s="111">
        <v>46326</v>
      </c>
      <c r="AT2" s="111">
        <v>46356</v>
      </c>
      <c r="AU2" s="111">
        <v>46387</v>
      </c>
      <c r="AV2" s="112">
        <v>46387</v>
      </c>
      <c r="AW2" s="111">
        <v>46418</v>
      </c>
      <c r="AX2" s="111">
        <v>46446</v>
      </c>
      <c r="AY2" s="111">
        <v>46477</v>
      </c>
      <c r="AZ2" s="111">
        <v>46507</v>
      </c>
      <c r="BA2" s="111">
        <v>46538</v>
      </c>
      <c r="BB2" s="111">
        <v>46568</v>
      </c>
      <c r="BC2" s="111">
        <v>46599</v>
      </c>
      <c r="BD2" s="111">
        <v>46630</v>
      </c>
      <c r="BE2" s="111">
        <v>46660</v>
      </c>
      <c r="BF2" s="111">
        <v>46691</v>
      </c>
      <c r="BG2" s="111">
        <v>46721</v>
      </c>
      <c r="BH2" s="111">
        <v>46752</v>
      </c>
      <c r="BI2" s="112">
        <v>46752</v>
      </c>
    </row>
    <row r="3" spans="1:62" ht="15.75" customHeight="1" x14ac:dyDescent="0.25">
      <c r="A3" s="108"/>
      <c r="B3" s="110"/>
      <c r="C3" s="110"/>
      <c r="D3" s="110"/>
      <c r="E3" s="110"/>
      <c r="F3" s="111" t="s">
        <v>18</v>
      </c>
      <c r="G3" s="111" t="s">
        <v>18</v>
      </c>
      <c r="H3" s="111" t="s">
        <v>18</v>
      </c>
      <c r="I3" s="111" t="s">
        <v>18</v>
      </c>
      <c r="J3" s="111" t="s">
        <v>18</v>
      </c>
      <c r="K3" s="111" t="s">
        <v>18</v>
      </c>
      <c r="L3" s="111" t="s">
        <v>18</v>
      </c>
      <c r="M3" s="111" t="s">
        <v>18</v>
      </c>
      <c r="N3" s="111" t="s">
        <v>18</v>
      </c>
      <c r="O3" s="111" t="s">
        <v>18</v>
      </c>
      <c r="P3" s="111" t="s">
        <v>18</v>
      </c>
      <c r="Q3" s="111" t="s">
        <v>18</v>
      </c>
      <c r="R3" s="112"/>
      <c r="S3" s="120" t="s">
        <v>128</v>
      </c>
      <c r="T3" s="114"/>
      <c r="U3" s="114"/>
      <c r="V3" s="114"/>
      <c r="W3" s="115" t="s">
        <v>128</v>
      </c>
      <c r="X3" s="115" t="s">
        <v>128</v>
      </c>
      <c r="Y3" s="115" t="s">
        <v>128</v>
      </c>
      <c r="Z3" s="115" t="s">
        <v>128</v>
      </c>
      <c r="AA3" s="115" t="s">
        <v>128</v>
      </c>
      <c r="AB3" s="115" t="s">
        <v>128</v>
      </c>
      <c r="AC3" s="115" t="s">
        <v>128</v>
      </c>
      <c r="AD3" s="115" t="s">
        <v>128</v>
      </c>
      <c r="AE3" s="115" t="s">
        <v>128</v>
      </c>
      <c r="AF3" s="115" t="s">
        <v>128</v>
      </c>
      <c r="AG3" s="115" t="s">
        <v>128</v>
      </c>
      <c r="AH3" s="115" t="s">
        <v>128</v>
      </c>
      <c r="AI3" s="116"/>
      <c r="AJ3" s="111" t="s">
        <v>19</v>
      </c>
      <c r="AK3" s="111" t="s">
        <v>19</v>
      </c>
      <c r="AL3" s="111" t="s">
        <v>19</v>
      </c>
      <c r="AM3" s="111" t="s">
        <v>19</v>
      </c>
      <c r="AN3" s="111" t="s">
        <v>19</v>
      </c>
      <c r="AO3" s="111" t="s">
        <v>19</v>
      </c>
      <c r="AP3" s="111" t="s">
        <v>19</v>
      </c>
      <c r="AQ3" s="111" t="s">
        <v>19</v>
      </c>
      <c r="AR3" s="111" t="s">
        <v>19</v>
      </c>
      <c r="AS3" s="111" t="s">
        <v>19</v>
      </c>
      <c r="AT3" s="111" t="s">
        <v>19</v>
      </c>
      <c r="AU3" s="111" t="s">
        <v>19</v>
      </c>
      <c r="AV3" s="112" t="s">
        <v>19</v>
      </c>
      <c r="AW3" s="111" t="s">
        <v>19</v>
      </c>
      <c r="AX3" s="111" t="s">
        <v>19</v>
      </c>
      <c r="AY3" s="111" t="s">
        <v>19</v>
      </c>
      <c r="AZ3" s="111" t="s">
        <v>19</v>
      </c>
      <c r="BA3" s="111" t="s">
        <v>19</v>
      </c>
      <c r="BB3" s="111" t="s">
        <v>19</v>
      </c>
      <c r="BC3" s="111" t="s">
        <v>19</v>
      </c>
      <c r="BD3" s="111" t="s">
        <v>19</v>
      </c>
      <c r="BE3" s="111" t="s">
        <v>19</v>
      </c>
      <c r="BF3" s="111" t="s">
        <v>19</v>
      </c>
      <c r="BG3" s="111" t="s">
        <v>19</v>
      </c>
      <c r="BH3" s="111" t="s">
        <v>19</v>
      </c>
      <c r="BI3" s="112" t="s">
        <v>19</v>
      </c>
    </row>
    <row r="4" spans="1:62" ht="15.75" customHeight="1" x14ac:dyDescent="0.25">
      <c r="A4" s="108"/>
      <c r="B4" s="110"/>
      <c r="C4" s="110"/>
      <c r="D4" s="110"/>
      <c r="E4" s="110"/>
      <c r="F4" s="111" t="s">
        <v>129</v>
      </c>
      <c r="G4" s="111" t="s">
        <v>130</v>
      </c>
      <c r="H4" s="111" t="s">
        <v>131</v>
      </c>
      <c r="I4" s="111" t="s">
        <v>132</v>
      </c>
      <c r="J4" s="111" t="s">
        <v>133</v>
      </c>
      <c r="K4" s="111" t="s">
        <v>134</v>
      </c>
      <c r="L4" s="111" t="s">
        <v>135</v>
      </c>
      <c r="M4" s="111" t="s">
        <v>136</v>
      </c>
      <c r="N4" s="111" t="s">
        <v>137</v>
      </c>
      <c r="O4" s="111" t="s">
        <v>138</v>
      </c>
      <c r="P4" s="111" t="s">
        <v>139</v>
      </c>
      <c r="Q4" s="111" t="s">
        <v>140</v>
      </c>
      <c r="R4" s="121"/>
      <c r="S4" s="114"/>
      <c r="T4" s="114"/>
      <c r="U4" s="114"/>
      <c r="V4" s="114"/>
      <c r="W4" s="115" t="s">
        <v>141</v>
      </c>
      <c r="X4" s="115" t="s">
        <v>142</v>
      </c>
      <c r="Y4" s="115" t="s">
        <v>143</v>
      </c>
      <c r="Z4" s="115" t="s">
        <v>144</v>
      </c>
      <c r="AA4" s="115" t="s">
        <v>145</v>
      </c>
      <c r="AB4" s="115" t="s">
        <v>146</v>
      </c>
      <c r="AC4" s="115" t="s">
        <v>147</v>
      </c>
      <c r="AD4" s="115" t="s">
        <v>148</v>
      </c>
      <c r="AE4" s="115" t="s">
        <v>149</v>
      </c>
      <c r="AF4" s="115" t="s">
        <v>150</v>
      </c>
      <c r="AG4" s="115" t="s">
        <v>151</v>
      </c>
      <c r="AH4" s="115" t="s">
        <v>152</v>
      </c>
      <c r="AI4" s="122"/>
      <c r="AJ4" s="111" t="s">
        <v>141</v>
      </c>
      <c r="AK4" s="111" t="s">
        <v>142</v>
      </c>
      <c r="AL4" s="111" t="s">
        <v>143</v>
      </c>
      <c r="AM4" s="111" t="s">
        <v>144</v>
      </c>
      <c r="AN4" s="111" t="s">
        <v>145</v>
      </c>
      <c r="AO4" s="111" t="s">
        <v>146</v>
      </c>
      <c r="AP4" s="111" t="s">
        <v>147</v>
      </c>
      <c r="AQ4" s="111" t="s">
        <v>148</v>
      </c>
      <c r="AR4" s="111" t="s">
        <v>149</v>
      </c>
      <c r="AS4" s="111" t="s">
        <v>150</v>
      </c>
      <c r="AT4" s="111" t="s">
        <v>151</v>
      </c>
      <c r="AU4" s="111" t="s">
        <v>152</v>
      </c>
      <c r="AV4" s="121">
        <v>2026</v>
      </c>
      <c r="AW4" s="111" t="s">
        <v>153</v>
      </c>
      <c r="AX4" s="111" t="s">
        <v>154</v>
      </c>
      <c r="AY4" s="111" t="s">
        <v>155</v>
      </c>
      <c r="AZ4" s="111" t="s">
        <v>156</v>
      </c>
      <c r="BA4" s="111" t="s">
        <v>157</v>
      </c>
      <c r="BB4" s="111" t="s">
        <v>158</v>
      </c>
      <c r="BC4" s="111" t="s">
        <v>159</v>
      </c>
      <c r="BD4" s="111" t="s">
        <v>160</v>
      </c>
      <c r="BE4" s="111" t="s">
        <v>161</v>
      </c>
      <c r="BF4" s="111" t="s">
        <v>162</v>
      </c>
      <c r="BG4" s="111" t="s">
        <v>163</v>
      </c>
      <c r="BH4" s="111" t="s">
        <v>164</v>
      </c>
      <c r="BI4" s="121">
        <v>2027</v>
      </c>
    </row>
    <row r="5" spans="1:62" x14ac:dyDescent="0.25">
      <c r="A5" s="108"/>
      <c r="B5" s="110"/>
      <c r="C5" s="110"/>
      <c r="D5" s="110"/>
      <c r="E5" s="110"/>
      <c r="F5" s="123">
        <v>0</v>
      </c>
      <c r="G5" s="123">
        <v>0</v>
      </c>
      <c r="H5" s="123">
        <v>0</v>
      </c>
      <c r="I5" s="123">
        <v>0</v>
      </c>
      <c r="J5" s="123">
        <v>0</v>
      </c>
      <c r="K5" s="123">
        <v>0</v>
      </c>
      <c r="L5" s="123">
        <v>0</v>
      </c>
      <c r="M5" s="123">
        <v>0</v>
      </c>
      <c r="N5" s="123">
        <v>0</v>
      </c>
      <c r="O5" s="123">
        <v>0</v>
      </c>
      <c r="P5" s="123">
        <v>0</v>
      </c>
      <c r="Q5" s="123">
        <v>0</v>
      </c>
      <c r="R5" s="121">
        <v>0</v>
      </c>
      <c r="S5" s="114"/>
      <c r="T5" s="114"/>
      <c r="U5" s="114"/>
      <c r="V5" s="114"/>
      <c r="W5" s="124">
        <v>0</v>
      </c>
      <c r="X5" s="124">
        <v>0</v>
      </c>
      <c r="Y5" s="124">
        <v>0</v>
      </c>
      <c r="Z5" s="124">
        <v>0</v>
      </c>
      <c r="AA5" s="124">
        <v>0</v>
      </c>
      <c r="AB5" s="124">
        <v>0</v>
      </c>
      <c r="AC5" s="124">
        <v>0</v>
      </c>
      <c r="AD5" s="124">
        <v>0</v>
      </c>
      <c r="AE5" s="124">
        <v>0</v>
      </c>
      <c r="AF5" s="124">
        <v>0</v>
      </c>
      <c r="AG5" s="124">
        <v>0</v>
      </c>
      <c r="AH5" s="124">
        <v>0</v>
      </c>
      <c r="AI5" s="122"/>
      <c r="AJ5" s="123">
        <v>0</v>
      </c>
      <c r="AK5" s="123">
        <v>0</v>
      </c>
      <c r="AL5" s="123">
        <v>0</v>
      </c>
      <c r="AM5" s="123">
        <v>0</v>
      </c>
      <c r="AN5" s="123">
        <v>0</v>
      </c>
      <c r="AO5" s="123">
        <v>0</v>
      </c>
      <c r="AP5" s="123">
        <v>0</v>
      </c>
      <c r="AQ5" s="123">
        <v>0</v>
      </c>
      <c r="AR5" s="123">
        <v>0</v>
      </c>
      <c r="AS5" s="123">
        <v>0</v>
      </c>
      <c r="AT5" s="123">
        <v>0</v>
      </c>
      <c r="AU5" s="123">
        <v>0</v>
      </c>
      <c r="AV5" s="121">
        <v>0</v>
      </c>
      <c r="AW5" s="123">
        <v>0</v>
      </c>
      <c r="AX5" s="123">
        <v>0</v>
      </c>
      <c r="AY5" s="123">
        <v>0</v>
      </c>
      <c r="AZ5" s="123">
        <v>0</v>
      </c>
      <c r="BA5" s="123">
        <v>0</v>
      </c>
      <c r="BB5" s="123">
        <v>0</v>
      </c>
      <c r="BC5" s="123">
        <v>0</v>
      </c>
      <c r="BD5" s="123">
        <v>0</v>
      </c>
      <c r="BE5" s="123">
        <v>0</v>
      </c>
      <c r="BF5" s="123">
        <v>0</v>
      </c>
      <c r="BG5" s="123">
        <v>0</v>
      </c>
      <c r="BH5" s="123">
        <v>0</v>
      </c>
      <c r="BI5" s="121">
        <v>0</v>
      </c>
    </row>
    <row r="6" spans="1:62" ht="15.75" x14ac:dyDescent="0.25">
      <c r="B6" s="125" t="s">
        <v>165</v>
      </c>
      <c r="C6" s="126"/>
      <c r="D6" s="126"/>
      <c r="E6" s="127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9" t="s">
        <v>166</v>
      </c>
      <c r="T6" s="129"/>
      <c r="U6" s="130"/>
      <c r="V6" s="129"/>
      <c r="W6" s="129"/>
      <c r="X6" s="130"/>
      <c r="Y6" s="129"/>
      <c r="Z6" s="130"/>
      <c r="AA6" s="129"/>
      <c r="AB6" s="130"/>
      <c r="AC6" s="129"/>
      <c r="AD6" s="130"/>
      <c r="AE6" s="129"/>
      <c r="AF6" s="130"/>
      <c r="AG6" s="129"/>
      <c r="AH6" s="130"/>
      <c r="AI6" s="131"/>
      <c r="AJ6" s="129"/>
      <c r="AK6" s="130"/>
      <c r="AL6" s="129"/>
      <c r="AM6" s="130"/>
      <c r="AN6" s="129"/>
      <c r="AO6" s="130"/>
      <c r="AP6" s="129"/>
      <c r="AQ6" s="130"/>
      <c r="AR6" s="129"/>
      <c r="AS6" s="130"/>
      <c r="AT6" s="129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</row>
    <row r="7" spans="1:62" ht="15.75" x14ac:dyDescent="0.25">
      <c r="B7" s="132" t="s">
        <v>167</v>
      </c>
      <c r="C7" s="132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2" t="s">
        <v>168</v>
      </c>
      <c r="T7" s="132"/>
      <c r="U7" s="134"/>
      <c r="V7" s="134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</row>
    <row r="8" spans="1:62" x14ac:dyDescent="0.25">
      <c r="B8" s="136" t="s">
        <v>169</v>
      </c>
      <c r="C8" s="136" t="s">
        <v>26</v>
      </c>
      <c r="D8" s="137"/>
      <c r="E8" s="137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9"/>
      <c r="AI8" s="139"/>
      <c r="AJ8" s="140">
        <v>12594</v>
      </c>
      <c r="AK8" s="140">
        <v>13925</v>
      </c>
      <c r="AL8" s="140">
        <v>16199</v>
      </c>
      <c r="AM8" s="140">
        <v>11806</v>
      </c>
      <c r="AN8" s="141">
        <v>13134</v>
      </c>
      <c r="AO8" s="142">
        <v>15611.546</v>
      </c>
      <c r="AP8" s="142">
        <v>17790.784500000002</v>
      </c>
      <c r="AQ8" s="142">
        <v>23091.537250000001</v>
      </c>
      <c r="AR8" s="142">
        <v>21513.660250000001</v>
      </c>
      <c r="AS8" s="142">
        <v>24765.639749999998</v>
      </c>
      <c r="AT8" s="142">
        <v>26695.639000000003</v>
      </c>
      <c r="AU8" s="142">
        <v>28352.057999999997</v>
      </c>
    </row>
    <row r="9" spans="1:62" outlineLevel="1" x14ac:dyDescent="0.25">
      <c r="B9" s="143" t="s">
        <v>170</v>
      </c>
      <c r="C9" s="136" t="s">
        <v>26</v>
      </c>
      <c r="D9" s="144"/>
      <c r="E9" s="144"/>
      <c r="F9" s="145">
        <v>0</v>
      </c>
      <c r="G9" s="145">
        <v>0</v>
      </c>
      <c r="H9" s="145">
        <v>0</v>
      </c>
      <c r="I9" s="145">
        <v>0</v>
      </c>
      <c r="J9" s="145">
        <v>0</v>
      </c>
      <c r="K9" s="145">
        <v>0</v>
      </c>
      <c r="L9" s="145">
        <v>0</v>
      </c>
      <c r="M9" s="145">
        <v>0</v>
      </c>
      <c r="N9" s="145">
        <v>0</v>
      </c>
      <c r="O9" s="145">
        <v>0</v>
      </c>
      <c r="P9" s="145">
        <v>0</v>
      </c>
      <c r="Q9" s="145">
        <v>0</v>
      </c>
      <c r="R9" s="146"/>
      <c r="AI9" s="146"/>
      <c r="AJ9" s="147">
        <v>0</v>
      </c>
      <c r="AK9" s="147">
        <v>0</v>
      </c>
      <c r="AL9" s="147">
        <v>0</v>
      </c>
      <c r="AM9" s="147">
        <v>0</v>
      </c>
      <c r="AN9" s="148">
        <v>0</v>
      </c>
      <c r="AO9" s="148">
        <v>29056</v>
      </c>
      <c r="AP9" s="148">
        <v>60050</v>
      </c>
      <c r="AQ9" s="148">
        <v>63052</v>
      </c>
      <c r="AR9" s="148">
        <v>86426</v>
      </c>
      <c r="AS9" s="148">
        <v>145712</v>
      </c>
      <c r="AT9" s="148">
        <v>176878</v>
      </c>
      <c r="AU9" s="148">
        <v>165137</v>
      </c>
    </row>
    <row r="10" spans="1:62" x14ac:dyDescent="0.25">
      <c r="B10" s="136" t="s">
        <v>171</v>
      </c>
      <c r="C10" s="136" t="s">
        <v>26</v>
      </c>
      <c r="D10" s="137"/>
      <c r="E10" s="137"/>
      <c r="F10" s="138">
        <v>18337</v>
      </c>
      <c r="G10" s="138">
        <v>15193</v>
      </c>
      <c r="H10" s="138">
        <v>22246</v>
      </c>
      <c r="I10" s="138">
        <v>25131</v>
      </c>
      <c r="J10" s="138">
        <v>25715</v>
      </c>
      <c r="K10" s="138">
        <v>25509</v>
      </c>
      <c r="L10" s="138">
        <v>35171</v>
      </c>
      <c r="M10" s="138">
        <v>42630</v>
      </c>
      <c r="N10" s="138">
        <v>49322.147353987566</v>
      </c>
      <c r="O10" s="138">
        <v>43231.227187452067</v>
      </c>
      <c r="P10" s="138">
        <v>46289.471375514586</v>
      </c>
      <c r="Q10" s="138">
        <v>52715.866157943878</v>
      </c>
      <c r="R10" s="139"/>
      <c r="S10" s="136" t="s">
        <v>172</v>
      </c>
      <c r="T10" s="136"/>
      <c r="W10" s="138">
        <v>39876.174198609318</v>
      </c>
      <c r="X10" s="138">
        <v>42309.325350924039</v>
      </c>
      <c r="Y10" s="138">
        <v>49081.476503238766</v>
      </c>
      <c r="Z10" s="138">
        <v>49347.656688655057</v>
      </c>
      <c r="AA10" s="138">
        <v>51529.383417127137</v>
      </c>
      <c r="AB10" s="138">
        <v>53504.110145599247</v>
      </c>
      <c r="AC10" s="138">
        <v>44023.836874071327</v>
      </c>
      <c r="AD10" s="138">
        <v>37393.714754858163</v>
      </c>
      <c r="AE10" s="138">
        <v>34119.168211802345</v>
      </c>
      <c r="AF10" s="138">
        <v>35549.894940274447</v>
      </c>
      <c r="AG10" s="138">
        <v>36681.046092589182</v>
      </c>
      <c r="AH10" s="138">
        <v>37941.046092589182</v>
      </c>
      <c r="AI10" s="139"/>
      <c r="AJ10" s="140">
        <v>75411</v>
      </c>
      <c r="AK10" s="140">
        <v>177555</v>
      </c>
      <c r="AL10" s="140">
        <v>203754</v>
      </c>
      <c r="AM10" s="140">
        <v>165286</v>
      </c>
      <c r="AN10" s="141">
        <v>150000</v>
      </c>
      <c r="AO10" s="142">
        <v>124449</v>
      </c>
      <c r="AP10" s="142">
        <v>104908</v>
      </c>
      <c r="AQ10" s="142">
        <v>110154</v>
      </c>
      <c r="AR10" s="142">
        <v>93311</v>
      </c>
      <c r="AS10" s="142">
        <v>51919</v>
      </c>
      <c r="AT10" s="142">
        <v>23561</v>
      </c>
      <c r="AU10" s="142">
        <v>21997</v>
      </c>
      <c r="BJ10" s="117" t="s">
        <v>173</v>
      </c>
    </row>
    <row r="11" spans="1:62" outlineLevel="1" x14ac:dyDescent="0.25">
      <c r="B11" s="149" t="s">
        <v>174</v>
      </c>
      <c r="C11" s="136" t="s">
        <v>26</v>
      </c>
      <c r="D11" s="144"/>
      <c r="E11" s="144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50"/>
      <c r="S11" s="151" t="s">
        <v>167</v>
      </c>
      <c r="T11" s="136"/>
      <c r="W11" s="138">
        <v>39876.174198609318</v>
      </c>
      <c r="X11" s="138">
        <v>42309.325350924039</v>
      </c>
      <c r="Y11" s="138">
        <v>49081.476503238766</v>
      </c>
      <c r="Z11" s="138">
        <v>49347.656688655057</v>
      </c>
      <c r="AA11" s="138">
        <v>51529.383417127137</v>
      </c>
      <c r="AB11" s="138">
        <v>53504.110145599247</v>
      </c>
      <c r="AC11" s="138">
        <v>44023.836874071327</v>
      </c>
      <c r="AD11" s="138">
        <v>37393.714754858163</v>
      </c>
      <c r="AE11" s="138">
        <v>34119.168211802345</v>
      </c>
      <c r="AF11" s="138">
        <v>35549.894940274447</v>
      </c>
      <c r="AG11" s="138">
        <v>36681.046092589182</v>
      </c>
      <c r="AH11" s="138">
        <v>37941.046092589182</v>
      </c>
      <c r="AI11" s="150"/>
      <c r="AJ11" s="147">
        <v>0</v>
      </c>
      <c r="AK11" s="147">
        <v>0</v>
      </c>
      <c r="AL11" s="147">
        <v>0</v>
      </c>
      <c r="AM11" s="147">
        <v>0</v>
      </c>
      <c r="AN11" s="148">
        <v>0</v>
      </c>
      <c r="AO11" s="148">
        <v>0</v>
      </c>
      <c r="AP11" s="148">
        <v>0</v>
      </c>
      <c r="AQ11" s="148">
        <v>0</v>
      </c>
      <c r="AR11" s="148">
        <v>0</v>
      </c>
      <c r="AS11" s="148">
        <v>0</v>
      </c>
      <c r="AT11" s="148">
        <v>0</v>
      </c>
      <c r="AU11" s="148">
        <v>0</v>
      </c>
    </row>
    <row r="12" spans="1:62" outlineLevel="1" x14ac:dyDescent="0.25">
      <c r="B12" s="136" t="s">
        <v>175</v>
      </c>
      <c r="C12" s="136" t="s">
        <v>26</v>
      </c>
      <c r="D12" s="137"/>
      <c r="E12" s="137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9"/>
      <c r="S12" s="151" t="s">
        <v>176</v>
      </c>
      <c r="T12" s="136"/>
      <c r="W12" s="138">
        <v>0</v>
      </c>
      <c r="X12" s="138">
        <v>0</v>
      </c>
      <c r="Y12" s="138">
        <v>0</v>
      </c>
      <c r="Z12" s="138">
        <v>0</v>
      </c>
      <c r="AA12" s="138">
        <v>0</v>
      </c>
      <c r="AB12" s="138">
        <v>0</v>
      </c>
      <c r="AC12" s="138">
        <v>0</v>
      </c>
      <c r="AD12" s="138">
        <v>0</v>
      </c>
      <c r="AE12" s="138">
        <v>0</v>
      </c>
      <c r="AF12" s="138">
        <v>0</v>
      </c>
      <c r="AG12" s="138">
        <v>0</v>
      </c>
      <c r="AH12" s="138">
        <v>0</v>
      </c>
      <c r="AI12" s="139"/>
      <c r="AJ12" s="147">
        <v>2724</v>
      </c>
      <c r="AK12" s="147">
        <v>1906</v>
      </c>
      <c r="AL12" s="147">
        <v>2786</v>
      </c>
      <c r="AM12" s="147">
        <v>8221</v>
      </c>
      <c r="AN12" s="148"/>
      <c r="AO12" s="152">
        <v>990.2</v>
      </c>
      <c r="AP12" s="152">
        <v>1434.0119999999995</v>
      </c>
      <c r="AQ12" s="152">
        <v>3191.8319999999994</v>
      </c>
      <c r="AR12" s="152">
        <v>3813.96</v>
      </c>
      <c r="AS12" s="152">
        <v>19638.299039999998</v>
      </c>
      <c r="AT12" s="152">
        <v>20715.04608</v>
      </c>
      <c r="AU12" s="152">
        <v>4255.7087999999994</v>
      </c>
    </row>
    <row r="13" spans="1:62" ht="15.75" x14ac:dyDescent="0.25">
      <c r="B13" s="132" t="s">
        <v>177</v>
      </c>
      <c r="C13" s="132"/>
      <c r="D13" s="133"/>
      <c r="E13" s="132"/>
      <c r="F13" s="133"/>
      <c r="G13" s="132"/>
      <c r="H13" s="133"/>
      <c r="I13" s="132"/>
      <c r="J13" s="133"/>
      <c r="K13" s="132"/>
      <c r="L13" s="133"/>
      <c r="M13" s="132"/>
      <c r="N13" s="133"/>
      <c r="O13" s="132"/>
      <c r="P13" s="133"/>
      <c r="Q13" s="132"/>
      <c r="R13" s="139"/>
      <c r="AI13" s="139"/>
      <c r="AJ13" s="132"/>
      <c r="AK13" s="133"/>
      <c r="AL13" s="132"/>
      <c r="AM13" s="133"/>
      <c r="AN13" s="132"/>
      <c r="AO13" s="133"/>
      <c r="AP13" s="132"/>
      <c r="AQ13" s="133"/>
      <c r="AR13" s="132"/>
      <c r="AS13" s="133"/>
      <c r="AT13" s="132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</row>
    <row r="14" spans="1:62" x14ac:dyDescent="0.25">
      <c r="B14" s="143" t="s">
        <v>178</v>
      </c>
      <c r="C14" s="136" t="s">
        <v>26</v>
      </c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39"/>
      <c r="S14" s="136"/>
      <c r="T14" s="136"/>
      <c r="W14" s="154">
        <v>300</v>
      </c>
      <c r="X14" s="154">
        <v>426</v>
      </c>
      <c r="Y14" s="154">
        <v>552</v>
      </c>
      <c r="Z14" s="154">
        <v>678</v>
      </c>
      <c r="AA14" s="154">
        <v>804</v>
      </c>
      <c r="AB14" s="154">
        <v>930</v>
      </c>
      <c r="AC14" s="154">
        <v>1056</v>
      </c>
      <c r="AD14" s="154">
        <v>1182</v>
      </c>
      <c r="AE14" s="154">
        <v>1308</v>
      </c>
      <c r="AF14" s="154">
        <v>1434</v>
      </c>
      <c r="AG14" s="154">
        <v>1560</v>
      </c>
      <c r="AH14" s="154">
        <v>1686</v>
      </c>
      <c r="AI14" s="139"/>
      <c r="AJ14" s="153">
        <v>80</v>
      </c>
      <c r="AK14" s="153">
        <v>141</v>
      </c>
      <c r="AL14" s="153">
        <v>387</v>
      </c>
      <c r="AM14" s="153">
        <v>526</v>
      </c>
      <c r="AN14" s="153">
        <v>659</v>
      </c>
      <c r="AO14" s="155">
        <v>750</v>
      </c>
      <c r="AP14" s="155">
        <v>1121.0841824499998</v>
      </c>
      <c r="AQ14" s="155">
        <v>1434.3108845500001</v>
      </c>
      <c r="AR14" s="155">
        <v>1591.5835728500001</v>
      </c>
      <c r="AS14" s="155">
        <v>1701.4692869</v>
      </c>
      <c r="AT14" s="155">
        <v>1703.7560264000001</v>
      </c>
      <c r="AU14" s="155">
        <v>1907.2246445999999</v>
      </c>
    </row>
    <row r="15" spans="1:62" x14ac:dyDescent="0.25">
      <c r="B15" s="136" t="s">
        <v>179</v>
      </c>
      <c r="C15" s="136" t="s">
        <v>26</v>
      </c>
      <c r="D15" s="137"/>
      <c r="E15" s="137"/>
      <c r="F15" s="138">
        <v>9</v>
      </c>
      <c r="G15" s="138">
        <v>13</v>
      </c>
      <c r="H15" s="138">
        <v>19</v>
      </c>
      <c r="I15" s="138">
        <v>21</v>
      </c>
      <c r="J15" s="138">
        <v>22</v>
      </c>
      <c r="K15" s="138">
        <v>32</v>
      </c>
      <c r="L15" s="138">
        <v>51.146000000000001</v>
      </c>
      <c r="M15" s="138">
        <v>109.598</v>
      </c>
      <c r="N15" s="138">
        <v>107.61221030981349</v>
      </c>
      <c r="O15" s="138">
        <v>128.00213289242751</v>
      </c>
      <c r="P15" s="138">
        <v>175.193363942958</v>
      </c>
      <c r="Q15" s="138">
        <v>201.1716343732395</v>
      </c>
      <c r="R15" s="139"/>
      <c r="S15" s="136" t="s">
        <v>180</v>
      </c>
      <c r="T15" s="136"/>
      <c r="W15" s="138">
        <v>300</v>
      </c>
      <c r="X15" s="138">
        <v>426</v>
      </c>
      <c r="Y15" s="138">
        <v>552</v>
      </c>
      <c r="Z15" s="138">
        <v>678</v>
      </c>
      <c r="AA15" s="138">
        <v>804</v>
      </c>
      <c r="AB15" s="138">
        <v>930</v>
      </c>
      <c r="AC15" s="138">
        <v>1056</v>
      </c>
      <c r="AD15" s="138">
        <v>1182</v>
      </c>
      <c r="AE15" s="138">
        <v>1308</v>
      </c>
      <c r="AF15" s="138">
        <v>1434</v>
      </c>
      <c r="AG15" s="138">
        <v>1560</v>
      </c>
      <c r="AH15" s="138">
        <v>1686</v>
      </c>
      <c r="AI15" s="139"/>
      <c r="AJ15" s="156">
        <v>73</v>
      </c>
      <c r="AK15" s="156">
        <v>97</v>
      </c>
      <c r="AL15" s="156">
        <f>371-120</f>
        <v>251</v>
      </c>
      <c r="AM15" s="156">
        <v>288</v>
      </c>
      <c r="AN15" s="148">
        <v>291</v>
      </c>
      <c r="AO15" s="152">
        <v>300</v>
      </c>
      <c r="AP15" s="152">
        <v>571.08418244999996</v>
      </c>
      <c r="AQ15" s="152">
        <v>734.31088454999997</v>
      </c>
      <c r="AR15" s="152">
        <v>761.58357285</v>
      </c>
      <c r="AS15" s="152">
        <v>901.46928690000004</v>
      </c>
      <c r="AT15" s="152">
        <v>1003.7560264000001</v>
      </c>
      <c r="AU15" s="152">
        <v>1097.2246445999999</v>
      </c>
    </row>
    <row r="16" spans="1:62" s="117" customFormat="1" outlineLevel="1" x14ac:dyDescent="0.25">
      <c r="B16" s="136" t="s">
        <v>181</v>
      </c>
      <c r="C16" s="136" t="s">
        <v>26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39"/>
      <c r="S16" s="136" t="s">
        <v>182</v>
      </c>
      <c r="T16" s="136"/>
      <c r="W16" s="117">
        <v>0</v>
      </c>
      <c r="X16" s="117">
        <v>0</v>
      </c>
      <c r="Y16" s="117">
        <v>0</v>
      </c>
      <c r="Z16" s="117">
        <v>0</v>
      </c>
      <c r="AA16" s="117">
        <v>0</v>
      </c>
      <c r="AB16" s="117">
        <v>0</v>
      </c>
      <c r="AC16" s="117">
        <v>0</v>
      </c>
      <c r="AD16" s="117">
        <v>0</v>
      </c>
      <c r="AE16" s="117">
        <v>0</v>
      </c>
      <c r="AF16" s="117">
        <v>500</v>
      </c>
      <c r="AG16" s="117">
        <v>750</v>
      </c>
      <c r="AH16" s="117">
        <v>1250</v>
      </c>
      <c r="AI16" s="139"/>
      <c r="AJ16" s="157">
        <v>0</v>
      </c>
      <c r="AK16" s="157">
        <v>68</v>
      </c>
      <c r="AL16" s="157">
        <v>175</v>
      </c>
      <c r="AM16" s="157">
        <v>189</v>
      </c>
      <c r="AN16" s="117">
        <v>120</v>
      </c>
      <c r="AO16" s="158">
        <v>262</v>
      </c>
      <c r="AP16" s="158">
        <v>275</v>
      </c>
      <c r="AQ16" s="158">
        <v>285</v>
      </c>
      <c r="AR16" s="158">
        <v>300</v>
      </c>
      <c r="AS16" s="159">
        <v>289</v>
      </c>
      <c r="AT16" s="159">
        <v>290</v>
      </c>
      <c r="AU16" s="159">
        <v>283</v>
      </c>
    </row>
    <row r="17" spans="2:62" x14ac:dyDescent="0.25">
      <c r="B17" s="136" t="s">
        <v>183</v>
      </c>
      <c r="C17" s="136" t="s">
        <v>26</v>
      </c>
      <c r="D17" s="137"/>
      <c r="E17" s="137"/>
      <c r="F17" s="138">
        <v>1014</v>
      </c>
      <c r="G17" s="138">
        <v>1342</v>
      </c>
      <c r="H17" s="138">
        <v>1928</v>
      </c>
      <c r="I17" s="138">
        <v>3142</v>
      </c>
      <c r="J17" s="138">
        <v>3697</v>
      </c>
      <c r="K17" s="138">
        <v>3220</v>
      </c>
      <c r="L17" s="138">
        <v>3634.8539999999998</v>
      </c>
      <c r="M17" s="138">
        <v>3516.402</v>
      </c>
      <c r="N17" s="138">
        <v>3920.3877896901863</v>
      </c>
      <c r="O17" s="138">
        <v>5050.4064156135246</v>
      </c>
      <c r="P17" s="138">
        <v>5633.0874153473605</v>
      </c>
      <c r="Q17" s="138">
        <v>6952.0044915707949</v>
      </c>
      <c r="R17" s="139"/>
      <c r="S17" s="136" t="s">
        <v>184</v>
      </c>
      <c r="T17" s="136"/>
      <c r="W17" s="138">
        <v>4743.4800334790953</v>
      </c>
      <c r="X17" s="138">
        <v>4721.6760591506591</v>
      </c>
      <c r="Y17" s="138">
        <v>5541.1848601578258</v>
      </c>
      <c r="Z17" s="138">
        <v>5169.8666786457161</v>
      </c>
      <c r="AA17" s="138">
        <v>5359.0856454122868</v>
      </c>
      <c r="AB17" s="138">
        <v>5508.8371204732839</v>
      </c>
      <c r="AC17" s="138">
        <v>3436.7172508887288</v>
      </c>
      <c r="AD17" s="138">
        <v>1885.8365334206578</v>
      </c>
      <c r="AE17" s="138">
        <v>969.20349440360837</v>
      </c>
      <c r="AF17" s="138">
        <v>1013.2254466312186</v>
      </c>
      <c r="AG17" s="138">
        <v>1015.535503322918</v>
      </c>
      <c r="AH17" s="138">
        <v>1076.3196935780506</v>
      </c>
      <c r="AI17" s="139"/>
      <c r="AJ17" s="147">
        <v>3897</v>
      </c>
      <c r="AK17" s="147">
        <v>3494</v>
      </c>
      <c r="AL17" s="147">
        <v>4265</v>
      </c>
      <c r="AM17" s="147">
        <v>4458</v>
      </c>
      <c r="AN17" s="148">
        <v>4800</v>
      </c>
      <c r="AO17" s="160">
        <v>4690</v>
      </c>
      <c r="AP17" s="160">
        <v>4217</v>
      </c>
      <c r="AQ17" s="160">
        <v>3496</v>
      </c>
      <c r="AR17" s="160">
        <v>2159</v>
      </c>
      <c r="AS17" s="160">
        <v>1538</v>
      </c>
      <c r="AT17" s="160">
        <v>888</v>
      </c>
      <c r="AU17" s="160">
        <v>951</v>
      </c>
    </row>
    <row r="18" spans="2:62" x14ac:dyDescent="0.25">
      <c r="B18" s="136" t="s">
        <v>56</v>
      </c>
      <c r="C18" s="136" t="s">
        <v>26</v>
      </c>
      <c r="D18" s="137"/>
      <c r="E18" s="137"/>
      <c r="F18" s="138">
        <v>77</v>
      </c>
      <c r="G18" s="138">
        <v>76</v>
      </c>
      <c r="H18" s="138">
        <v>103</v>
      </c>
      <c r="I18" s="138">
        <v>87</v>
      </c>
      <c r="J18" s="138">
        <v>130</v>
      </c>
      <c r="K18" s="138">
        <v>106</v>
      </c>
      <c r="L18" s="138">
        <v>107</v>
      </c>
      <c r="M18" s="138">
        <v>125</v>
      </c>
      <c r="N18" s="138">
        <v>123</v>
      </c>
      <c r="O18" s="138">
        <v>179.84425865576225</v>
      </c>
      <c r="P18" s="138">
        <v>187.20203692114683</v>
      </c>
      <c r="Q18" s="138">
        <v>207.77385326045635</v>
      </c>
      <c r="R18" s="139"/>
      <c r="S18" s="136" t="s">
        <v>185</v>
      </c>
      <c r="T18" s="136"/>
      <c r="W18" s="138">
        <v>227.87692860934999</v>
      </c>
      <c r="X18" s="138">
        <v>231.18495030583415</v>
      </c>
      <c r="Y18" s="138">
        <v>234.49297200231837</v>
      </c>
      <c r="Z18" s="138">
        <v>249.37906963649721</v>
      </c>
      <c r="AA18" s="138">
        <v>254.34110218122348</v>
      </c>
      <c r="AB18" s="138">
        <v>259.30313472594975</v>
      </c>
      <c r="AC18" s="138">
        <v>264.26516727067605</v>
      </c>
      <c r="AD18" s="138">
        <v>272.53522151188656</v>
      </c>
      <c r="AE18" s="138">
        <v>282.45928660133904</v>
      </c>
      <c r="AF18" s="138">
        <v>287.42131914606534</v>
      </c>
      <c r="AG18" s="138">
        <v>290.7293408425495</v>
      </c>
      <c r="AH18" s="138">
        <v>290.7293408425495</v>
      </c>
      <c r="AI18" s="139"/>
      <c r="AJ18" s="147">
        <v>0</v>
      </c>
      <c r="AK18" s="147">
        <v>0</v>
      </c>
      <c r="AL18" s="147">
        <v>0</v>
      </c>
      <c r="AM18" s="147">
        <v>0</v>
      </c>
      <c r="AN18" s="148">
        <v>0</v>
      </c>
      <c r="AO18" s="148">
        <v>0</v>
      </c>
      <c r="AP18" s="148">
        <v>0</v>
      </c>
      <c r="AQ18" s="148">
        <v>0</v>
      </c>
      <c r="AR18" s="148">
        <v>0</v>
      </c>
      <c r="AS18" s="148">
        <v>0</v>
      </c>
      <c r="AT18" s="148">
        <v>0</v>
      </c>
      <c r="AU18" s="148">
        <v>0</v>
      </c>
    </row>
    <row r="19" spans="2:62" x14ac:dyDescent="0.25">
      <c r="B19" s="143" t="s">
        <v>186</v>
      </c>
      <c r="C19" s="136" t="s">
        <v>26</v>
      </c>
      <c r="D19" s="144"/>
      <c r="E19" s="144"/>
      <c r="F19" s="148">
        <v>49</v>
      </c>
      <c r="G19" s="148">
        <v>82</v>
      </c>
      <c r="H19" s="148">
        <v>169</v>
      </c>
      <c r="I19" s="148">
        <v>152</v>
      </c>
      <c r="J19" s="148">
        <v>114</v>
      </c>
      <c r="K19" s="148">
        <v>102</v>
      </c>
      <c r="L19" s="148">
        <v>116</v>
      </c>
      <c r="M19" s="148">
        <v>134</v>
      </c>
      <c r="N19" s="148">
        <v>221</v>
      </c>
      <c r="O19" s="148">
        <v>491.08105542485839</v>
      </c>
      <c r="P19" s="148">
        <v>496.82228706385058</v>
      </c>
      <c r="Q19" s="148">
        <v>627.64302819989143</v>
      </c>
      <c r="R19" s="139"/>
      <c r="S19" s="136" t="s">
        <v>186</v>
      </c>
      <c r="T19" s="136"/>
      <c r="W19" s="138">
        <v>814.57188638908281</v>
      </c>
      <c r="X19" s="138">
        <v>851.21280070395903</v>
      </c>
      <c r="Y19" s="138">
        <v>887.88482721592266</v>
      </c>
      <c r="Z19" s="138">
        <v>1047.3871537806929</v>
      </c>
      <c r="AA19" s="138">
        <v>1101.665936093789</v>
      </c>
      <c r="AB19" s="138">
        <v>1155.9777349193321</v>
      </c>
      <c r="AC19" s="138">
        <v>1430.3819761489469</v>
      </c>
      <c r="AD19" s="138">
        <v>1536.1134940223878</v>
      </c>
      <c r="AE19" s="138">
        <v>1662.6186450800221</v>
      </c>
      <c r="AF19" s="138">
        <v>1726.9693560261637</v>
      </c>
      <c r="AG19" s="138">
        <v>1770.6309223064191</v>
      </c>
      <c r="AH19" s="138">
        <v>1772.8719801717036</v>
      </c>
      <c r="AI19" s="139"/>
      <c r="AJ19" s="147">
        <v>192</v>
      </c>
      <c r="AK19" s="147">
        <v>1098</v>
      </c>
      <c r="AL19" s="147">
        <v>1478</v>
      </c>
      <c r="AM19" s="147">
        <v>5901</v>
      </c>
      <c r="AN19" s="148">
        <v>921</v>
      </c>
      <c r="AO19" s="161">
        <v>262.60000000000002</v>
      </c>
      <c r="AP19" s="161">
        <v>513.23</v>
      </c>
      <c r="AQ19" s="161">
        <v>713.89149999999995</v>
      </c>
      <c r="AR19" s="161">
        <v>1214.5860749999999</v>
      </c>
      <c r="AS19" s="161">
        <v>12619.315378749998</v>
      </c>
      <c r="AT19" s="161">
        <v>13625.681147687501</v>
      </c>
      <c r="AU19" s="161">
        <v>2032.8852050718749</v>
      </c>
    </row>
    <row r="20" spans="2:62" x14ac:dyDescent="0.25">
      <c r="B20" s="136" t="s">
        <v>187</v>
      </c>
      <c r="C20" s="136" t="s">
        <v>26</v>
      </c>
      <c r="F20" s="153">
        <v>437</v>
      </c>
      <c r="G20" s="153">
        <v>618</v>
      </c>
      <c r="H20" s="153">
        <v>881</v>
      </c>
      <c r="I20" s="153">
        <v>1260</v>
      </c>
      <c r="J20" s="153">
        <v>1455</v>
      </c>
      <c r="K20" s="153">
        <v>1200</v>
      </c>
      <c r="L20" s="153">
        <v>1392</v>
      </c>
      <c r="M20" s="153">
        <v>1407</v>
      </c>
      <c r="N20" s="153">
        <v>1568.6447738609213</v>
      </c>
      <c r="O20" s="153">
        <v>2001.6610072550577</v>
      </c>
      <c r="P20" s="153">
        <v>2274.2735933957138</v>
      </c>
      <c r="Q20" s="153">
        <v>2801.1013858634319</v>
      </c>
      <c r="R20" s="139"/>
      <c r="S20" s="136" t="s">
        <v>188</v>
      </c>
      <c r="T20" s="136" t="s">
        <v>26</v>
      </c>
      <c r="W20" s="138">
        <v>1875.3482275459194</v>
      </c>
      <c r="X20" s="138">
        <v>1868.9113227520731</v>
      </c>
      <c r="Y20" s="138">
        <v>2191.2569694733779</v>
      </c>
      <c r="Z20" s="138">
        <v>2042.4579890213126</v>
      </c>
      <c r="AA20" s="138">
        <v>2119.878676800744</v>
      </c>
      <c r="AB20" s="138">
        <v>2177.495964580175</v>
      </c>
      <c r="AC20" s="138">
        <v>1361.8827796323335</v>
      </c>
      <c r="AD20" s="138">
        <v>749.6060431693403</v>
      </c>
      <c r="AE20" s="138">
        <v>387.4937248881655</v>
      </c>
      <c r="AF20" s="138">
        <v>406.01083084941467</v>
      </c>
      <c r="AG20" s="138">
        <v>407.43342165914885</v>
      </c>
      <c r="AH20" s="138">
        <v>430.98833368100424</v>
      </c>
      <c r="AI20" s="139"/>
      <c r="AJ20" s="162">
        <v>1495</v>
      </c>
      <c r="AK20" s="162">
        <v>1214</v>
      </c>
      <c r="AL20" s="162">
        <v>1418</v>
      </c>
      <c r="AM20" s="162">
        <v>1739</v>
      </c>
      <c r="AN20" s="163">
        <v>1381</v>
      </c>
      <c r="AO20" s="164">
        <v>1502.5445173410405</v>
      </c>
      <c r="AP20" s="164">
        <v>1345.5083980725854</v>
      </c>
      <c r="AQ20" s="164">
        <v>1110.1525405452978</v>
      </c>
      <c r="AR20" s="164">
        <v>571.82245855742315</v>
      </c>
      <c r="AS20" s="164">
        <v>338.57760999112679</v>
      </c>
      <c r="AT20" s="164">
        <v>81.466972712021885</v>
      </c>
      <c r="AU20" s="164">
        <v>117.06662790815128</v>
      </c>
    </row>
    <row r="21" spans="2:62" x14ac:dyDescent="0.25">
      <c r="B21" s="136" t="s">
        <v>189</v>
      </c>
      <c r="C21" s="136" t="s">
        <v>26</v>
      </c>
      <c r="F21" s="153">
        <v>153</v>
      </c>
      <c r="G21" s="153">
        <v>178</v>
      </c>
      <c r="H21" s="153">
        <v>278</v>
      </c>
      <c r="I21" s="153">
        <v>321</v>
      </c>
      <c r="J21" s="153">
        <v>453</v>
      </c>
      <c r="K21" s="153">
        <v>356</v>
      </c>
      <c r="L21" s="153">
        <v>377</v>
      </c>
      <c r="M21" s="153">
        <v>483</v>
      </c>
      <c r="N21" s="153">
        <v>456</v>
      </c>
      <c r="O21" s="153">
        <v>868.50526591081939</v>
      </c>
      <c r="P21" s="153">
        <v>1014.4756303168602</v>
      </c>
      <c r="Q21" s="153">
        <v>1221.8752391238877</v>
      </c>
      <c r="R21" s="139"/>
      <c r="S21" s="136" t="s">
        <v>189</v>
      </c>
      <c r="T21" s="136" t="s">
        <v>26</v>
      </c>
      <c r="W21" s="165">
        <v>909.22515615526947</v>
      </c>
      <c r="X21" s="165">
        <v>911.0962730579073</v>
      </c>
      <c r="Y21" s="165">
        <v>1031.7499414756967</v>
      </c>
      <c r="Z21" s="165">
        <v>992.83705865780996</v>
      </c>
      <c r="AA21" s="165">
        <v>1024.2197789819672</v>
      </c>
      <c r="AB21" s="165">
        <v>1051.7990993061251</v>
      </c>
      <c r="AC21" s="165">
        <v>760.14794690300937</v>
      </c>
      <c r="AD21" s="165">
        <v>545.14126468122686</v>
      </c>
      <c r="AE21" s="165">
        <v>423.95301148950449</v>
      </c>
      <c r="AF21" s="165">
        <v>434.43214999548002</v>
      </c>
      <c r="AG21" s="165">
        <v>438.16276250169841</v>
      </c>
      <c r="AH21" s="165">
        <v>448.7176745235538</v>
      </c>
      <c r="AI21" s="139"/>
      <c r="AJ21" s="153">
        <v>646.80177099563525</v>
      </c>
      <c r="AK21" s="153">
        <v>636.29514034627732</v>
      </c>
      <c r="AL21" s="153">
        <v>747.3268430302528</v>
      </c>
      <c r="AM21" s="153">
        <v>697.4384131254867</v>
      </c>
      <c r="AN21" s="153">
        <v>722.29315177483454</v>
      </c>
      <c r="AO21" s="153">
        <v>743.31113284842479</v>
      </c>
      <c r="AP21" s="153">
        <v>469.15679574019669</v>
      </c>
      <c r="AQ21" s="153">
        <v>258.18580711681727</v>
      </c>
      <c r="AR21" s="153">
        <v>137.02551546313467</v>
      </c>
      <c r="AS21" s="153">
        <v>50.015435930664289</v>
      </c>
      <c r="AT21" s="153">
        <v>56.510553367890871</v>
      </c>
      <c r="AU21" s="153">
        <v>65.005670805117433</v>
      </c>
    </row>
    <row r="22" spans="2:62" x14ac:dyDescent="0.25">
      <c r="B22" s="136" t="s">
        <v>190</v>
      </c>
      <c r="C22" s="136" t="s">
        <v>26</v>
      </c>
      <c r="F22" s="153">
        <v>154</v>
      </c>
      <c r="G22" s="153">
        <v>154</v>
      </c>
      <c r="H22" s="153">
        <v>154</v>
      </c>
      <c r="I22" s="153">
        <v>154</v>
      </c>
      <c r="J22" s="153">
        <v>154</v>
      </c>
      <c r="K22" s="153">
        <v>154</v>
      </c>
      <c r="L22" s="153">
        <v>154</v>
      </c>
      <c r="M22" s="153">
        <v>198</v>
      </c>
      <c r="N22" s="153">
        <v>198</v>
      </c>
      <c r="O22" s="153">
        <v>198</v>
      </c>
      <c r="P22" s="153">
        <v>110</v>
      </c>
      <c r="Q22" s="153">
        <v>110</v>
      </c>
      <c r="R22" s="139"/>
      <c r="S22" s="136" t="s">
        <v>190</v>
      </c>
      <c r="T22" s="136"/>
      <c r="W22" s="166">
        <v>132</v>
      </c>
      <c r="X22" s="166">
        <v>132</v>
      </c>
      <c r="Y22" s="166">
        <v>132</v>
      </c>
      <c r="Z22" s="166">
        <v>132</v>
      </c>
      <c r="AA22" s="166">
        <v>132</v>
      </c>
      <c r="AB22" s="166">
        <v>132</v>
      </c>
      <c r="AC22" s="166">
        <v>132</v>
      </c>
      <c r="AD22" s="166">
        <v>132</v>
      </c>
      <c r="AE22" s="166">
        <v>132</v>
      </c>
      <c r="AF22" s="166">
        <v>132</v>
      </c>
      <c r="AG22" s="166">
        <v>132</v>
      </c>
      <c r="AH22" s="166">
        <v>132</v>
      </c>
      <c r="AI22" s="139"/>
      <c r="AJ22" s="153">
        <v>132</v>
      </c>
      <c r="AK22" s="153">
        <v>132</v>
      </c>
      <c r="AL22" s="153">
        <v>132</v>
      </c>
      <c r="AM22" s="153">
        <v>132</v>
      </c>
      <c r="AN22" s="153">
        <v>132</v>
      </c>
      <c r="AO22" s="153">
        <v>132</v>
      </c>
      <c r="AP22" s="153">
        <v>132</v>
      </c>
      <c r="AQ22" s="153">
        <v>132</v>
      </c>
      <c r="AR22" s="153">
        <v>132</v>
      </c>
      <c r="AS22" s="153">
        <v>132</v>
      </c>
      <c r="AT22" s="153">
        <v>132</v>
      </c>
      <c r="AU22" s="153">
        <v>132</v>
      </c>
    </row>
    <row r="23" spans="2:62" x14ac:dyDescent="0.25">
      <c r="B23" s="136" t="s">
        <v>191</v>
      </c>
      <c r="C23" s="136" t="s">
        <v>26</v>
      </c>
      <c r="F23" s="153">
        <v>184</v>
      </c>
      <c r="G23" s="153">
        <v>184</v>
      </c>
      <c r="H23" s="153">
        <v>184</v>
      </c>
      <c r="I23" s="153">
        <v>184</v>
      </c>
      <c r="J23" s="153">
        <v>200</v>
      </c>
      <c r="K23" s="153">
        <v>200</v>
      </c>
      <c r="L23" s="153">
        <v>200</v>
      </c>
      <c r="M23" s="153">
        <v>193</v>
      </c>
      <c r="N23" s="153">
        <v>193</v>
      </c>
      <c r="O23" s="153">
        <v>193</v>
      </c>
      <c r="P23" s="153">
        <v>191</v>
      </c>
      <c r="Q23" s="153">
        <v>191</v>
      </c>
      <c r="R23" s="139"/>
      <c r="S23" s="136" t="s">
        <v>191</v>
      </c>
      <c r="T23" s="136"/>
      <c r="W23" s="166">
        <v>450</v>
      </c>
      <c r="X23" s="166">
        <v>450</v>
      </c>
      <c r="Y23" s="166">
        <v>450</v>
      </c>
      <c r="Z23" s="166">
        <v>450</v>
      </c>
      <c r="AA23" s="166">
        <v>450</v>
      </c>
      <c r="AB23" s="166">
        <v>450</v>
      </c>
      <c r="AC23" s="166">
        <v>450</v>
      </c>
      <c r="AD23" s="166">
        <v>450</v>
      </c>
      <c r="AE23" s="166">
        <v>450</v>
      </c>
      <c r="AF23" s="166">
        <v>450</v>
      </c>
      <c r="AG23" s="166">
        <v>450</v>
      </c>
      <c r="AH23" s="166">
        <v>450</v>
      </c>
      <c r="AI23" s="139"/>
      <c r="AJ23" s="153">
        <v>450</v>
      </c>
      <c r="AK23" s="153">
        <v>450</v>
      </c>
      <c r="AL23" s="153">
        <v>450</v>
      </c>
      <c r="AM23" s="153">
        <v>450</v>
      </c>
      <c r="AN23" s="153">
        <v>450</v>
      </c>
      <c r="AO23" s="153">
        <v>450</v>
      </c>
      <c r="AP23" s="153">
        <v>450</v>
      </c>
      <c r="AQ23" s="153">
        <v>450</v>
      </c>
      <c r="AR23" s="153">
        <v>450</v>
      </c>
      <c r="AS23" s="153">
        <v>450</v>
      </c>
      <c r="AT23" s="153">
        <v>450</v>
      </c>
      <c r="AU23" s="153">
        <v>450</v>
      </c>
    </row>
    <row r="24" spans="2:62" ht="15.75" x14ac:dyDescent="0.25">
      <c r="B24" s="132" t="s">
        <v>192</v>
      </c>
      <c r="C24" s="132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9"/>
      <c r="S24" s="132" t="s">
        <v>192</v>
      </c>
      <c r="T24" s="132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9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</row>
    <row r="25" spans="2:62" x14ac:dyDescent="0.25">
      <c r="B25" s="136" t="s">
        <v>193</v>
      </c>
      <c r="C25" s="136" t="s">
        <v>26</v>
      </c>
      <c r="F25" s="153">
        <v>1</v>
      </c>
      <c r="G25" s="153">
        <v>1</v>
      </c>
      <c r="H25" s="153">
        <v>1</v>
      </c>
      <c r="I25" s="153">
        <v>2</v>
      </c>
      <c r="J25" s="153">
        <v>2</v>
      </c>
      <c r="K25" s="153">
        <v>2</v>
      </c>
      <c r="L25" s="153">
        <v>2</v>
      </c>
      <c r="M25" s="153">
        <v>2</v>
      </c>
      <c r="N25" s="153">
        <v>4</v>
      </c>
      <c r="O25" s="153">
        <v>6</v>
      </c>
      <c r="P25" s="153">
        <v>7</v>
      </c>
      <c r="Q25" s="153">
        <v>8</v>
      </c>
      <c r="R25" s="139"/>
      <c r="S25" s="136" t="s">
        <v>194</v>
      </c>
      <c r="T25" s="136"/>
      <c r="W25" s="154">
        <v>8</v>
      </c>
      <c r="X25" s="154">
        <v>9</v>
      </c>
      <c r="Y25" s="154">
        <v>10</v>
      </c>
      <c r="Z25" s="154">
        <v>10</v>
      </c>
      <c r="AA25" s="154">
        <v>10</v>
      </c>
      <c r="AB25" s="154">
        <v>11</v>
      </c>
      <c r="AC25" s="154">
        <v>11</v>
      </c>
      <c r="AD25" s="154">
        <v>12</v>
      </c>
      <c r="AE25" s="154">
        <v>12</v>
      </c>
      <c r="AF25" s="154">
        <v>13</v>
      </c>
      <c r="AG25" s="154">
        <v>13</v>
      </c>
      <c r="AH25" s="154">
        <v>14</v>
      </c>
      <c r="AI25" s="139"/>
      <c r="AJ25" s="153">
        <v>8</v>
      </c>
      <c r="AK25" s="153">
        <v>9</v>
      </c>
      <c r="AL25" s="153">
        <v>10</v>
      </c>
      <c r="AM25" s="153">
        <v>11</v>
      </c>
      <c r="AN25" s="153">
        <f>AM25</f>
        <v>11</v>
      </c>
      <c r="AO25" s="153">
        <f t="shared" ref="AO25:AP25" si="0">AN25</f>
        <v>11</v>
      </c>
      <c r="AP25" s="153">
        <f t="shared" si="0"/>
        <v>11</v>
      </c>
      <c r="AQ25" s="153">
        <v>12</v>
      </c>
      <c r="AR25" s="153">
        <v>12</v>
      </c>
      <c r="AS25" s="153">
        <v>14</v>
      </c>
      <c r="AT25" s="153">
        <v>14</v>
      </c>
      <c r="AU25" s="153">
        <v>14</v>
      </c>
    </row>
    <row r="26" spans="2:62" x14ac:dyDescent="0.25">
      <c r="B26" s="136" t="s">
        <v>195</v>
      </c>
      <c r="C26" s="136" t="s">
        <v>26</v>
      </c>
      <c r="F26" s="153">
        <v>0</v>
      </c>
      <c r="G26" s="153">
        <v>0</v>
      </c>
      <c r="H26" s="153">
        <v>0</v>
      </c>
      <c r="I26" s="153">
        <v>0</v>
      </c>
      <c r="J26" s="153">
        <v>0</v>
      </c>
      <c r="K26" s="153">
        <v>0</v>
      </c>
      <c r="L26" s="153">
        <v>0</v>
      </c>
      <c r="M26" s="153">
        <v>0</v>
      </c>
      <c r="N26" s="153">
        <v>0</v>
      </c>
      <c r="O26" s="153">
        <v>12</v>
      </c>
      <c r="P26" s="153">
        <v>28</v>
      </c>
      <c r="Q26" s="153">
        <v>40</v>
      </c>
      <c r="R26" s="139"/>
      <c r="S26" s="136" t="s">
        <v>196</v>
      </c>
      <c r="T26" s="136"/>
      <c r="W26" s="154">
        <v>40</v>
      </c>
      <c r="X26" s="154">
        <v>63</v>
      </c>
      <c r="Y26" s="154">
        <v>90</v>
      </c>
      <c r="Z26" s="154">
        <v>110</v>
      </c>
      <c r="AA26" s="154">
        <v>120</v>
      </c>
      <c r="AB26" s="154">
        <v>121</v>
      </c>
      <c r="AC26" s="154">
        <v>122</v>
      </c>
      <c r="AD26" s="154">
        <v>123</v>
      </c>
      <c r="AE26" s="154">
        <v>124</v>
      </c>
      <c r="AF26" s="154">
        <v>125</v>
      </c>
      <c r="AG26" s="154">
        <v>126</v>
      </c>
      <c r="AH26" s="154">
        <v>127</v>
      </c>
      <c r="AI26" s="139"/>
      <c r="AJ26" s="153">
        <v>40</v>
      </c>
      <c r="AK26" s="153">
        <v>63</v>
      </c>
      <c r="AL26" s="153">
        <v>90</v>
      </c>
      <c r="AM26" s="153">
        <v>110</v>
      </c>
      <c r="AN26" s="153">
        <v>120</v>
      </c>
      <c r="AO26" s="153">
        <f>AN26+10</f>
        <v>130</v>
      </c>
      <c r="AP26" s="153">
        <f t="shared" ref="AP26:AU26" si="1">AO26+10</f>
        <v>140</v>
      </c>
      <c r="AQ26" s="153">
        <f t="shared" si="1"/>
        <v>150</v>
      </c>
      <c r="AR26" s="153">
        <f t="shared" si="1"/>
        <v>160</v>
      </c>
      <c r="AS26" s="153">
        <f t="shared" si="1"/>
        <v>170</v>
      </c>
      <c r="AT26" s="153">
        <f t="shared" si="1"/>
        <v>180</v>
      </c>
      <c r="AU26" s="153">
        <f t="shared" si="1"/>
        <v>190</v>
      </c>
    </row>
    <row r="27" spans="2:62" x14ac:dyDescent="0.25">
      <c r="B27" s="136" t="s">
        <v>197</v>
      </c>
      <c r="C27" s="136" t="s">
        <v>26</v>
      </c>
      <c r="F27" s="153">
        <v>20</v>
      </c>
      <c r="G27" s="153">
        <v>35</v>
      </c>
      <c r="H27" s="153">
        <v>40</v>
      </c>
      <c r="I27" s="153">
        <v>43</v>
      </c>
      <c r="J27" s="153">
        <v>49</v>
      </c>
      <c r="K27" s="153">
        <v>58</v>
      </c>
      <c r="L27" s="153">
        <v>60</v>
      </c>
      <c r="M27" s="153">
        <v>65</v>
      </c>
      <c r="N27" s="153">
        <v>81</v>
      </c>
      <c r="O27" s="153">
        <v>14.315789473684209</v>
      </c>
      <c r="P27" s="153">
        <v>32</v>
      </c>
      <c r="Q27" s="153">
        <v>53.684210526315795</v>
      </c>
      <c r="R27" s="139"/>
      <c r="S27" s="136" t="s">
        <v>197</v>
      </c>
      <c r="T27" s="136"/>
      <c r="W27" s="154">
        <v>38.94736842105263</v>
      </c>
      <c r="X27" s="154">
        <v>49.10526315789474</v>
      </c>
      <c r="Y27" s="154">
        <v>55.26315789473685</v>
      </c>
      <c r="Z27" s="154">
        <v>68.421052631578959</v>
      </c>
      <c r="AA27" s="154">
        <v>91.578947368421041</v>
      </c>
      <c r="AB27" s="154">
        <v>117.46153846153845</v>
      </c>
      <c r="AC27" s="154">
        <v>142</v>
      </c>
      <c r="AD27" s="154">
        <v>165.29268292682929</v>
      </c>
      <c r="AE27" s="154">
        <v>187.42857142857144</v>
      </c>
      <c r="AF27" s="154">
        <v>208.48837209302326</v>
      </c>
      <c r="AG27" s="154">
        <v>228.54545454545456</v>
      </c>
      <c r="AH27" s="154">
        <v>247.66666666666669</v>
      </c>
      <c r="AI27" s="139"/>
      <c r="AJ27" s="153">
        <v>38.94736842105263</v>
      </c>
      <c r="AK27" s="153">
        <v>49.10526315789474</v>
      </c>
      <c r="AL27" s="153">
        <v>55.26315789473685</v>
      </c>
      <c r="AM27" s="153">
        <v>68.421052631578959</v>
      </c>
      <c r="AN27" s="153">
        <v>80</v>
      </c>
      <c r="AO27" s="153">
        <f>AN27+5</f>
        <v>85</v>
      </c>
      <c r="AP27" s="153">
        <f t="shared" ref="AP27:AU27" si="2">AO27+5</f>
        <v>90</v>
      </c>
      <c r="AQ27" s="153">
        <f t="shared" si="2"/>
        <v>95</v>
      </c>
      <c r="AR27" s="153">
        <f t="shared" si="2"/>
        <v>100</v>
      </c>
      <c r="AS27" s="153">
        <f t="shared" si="2"/>
        <v>105</v>
      </c>
      <c r="AT27" s="153">
        <f t="shared" si="2"/>
        <v>110</v>
      </c>
      <c r="AU27" s="153">
        <f t="shared" si="2"/>
        <v>115</v>
      </c>
    </row>
    <row r="28" spans="2:62" ht="15.75" x14ac:dyDescent="0.25">
      <c r="B28" s="129" t="s">
        <v>198</v>
      </c>
      <c r="C28" s="129"/>
      <c r="D28" s="130"/>
      <c r="E28" s="129"/>
      <c r="F28" s="130"/>
      <c r="G28" s="129"/>
      <c r="H28" s="130"/>
      <c r="I28" s="129"/>
      <c r="J28" s="130"/>
      <c r="K28" s="129"/>
      <c r="L28" s="130"/>
      <c r="M28" s="129"/>
      <c r="N28" s="130"/>
      <c r="O28" s="129"/>
      <c r="P28" s="130"/>
      <c r="Q28" s="129"/>
      <c r="R28" s="131"/>
      <c r="S28" s="129" t="s">
        <v>199</v>
      </c>
      <c r="T28" s="129"/>
      <c r="U28" s="130"/>
      <c r="V28" s="129"/>
      <c r="W28" s="129"/>
      <c r="X28" s="130"/>
      <c r="Y28" s="129"/>
      <c r="Z28" s="130"/>
      <c r="AA28" s="129"/>
      <c r="AB28" s="130"/>
      <c r="AC28" s="129"/>
      <c r="AD28" s="130"/>
      <c r="AE28" s="129"/>
      <c r="AF28" s="130"/>
      <c r="AG28" s="129"/>
      <c r="AH28" s="130"/>
      <c r="AI28" s="131"/>
      <c r="AJ28" s="129"/>
      <c r="AK28" s="130"/>
      <c r="AL28" s="129"/>
      <c r="AM28" s="130"/>
      <c r="AN28" s="129"/>
      <c r="AO28" s="130"/>
      <c r="AP28" s="129"/>
      <c r="AQ28" s="130"/>
      <c r="AR28" s="129"/>
      <c r="AS28" s="130"/>
      <c r="AT28" s="129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</row>
    <row r="29" spans="2:62" x14ac:dyDescent="0.25">
      <c r="B29" s="136" t="s">
        <v>200</v>
      </c>
      <c r="C29" s="136" t="s">
        <v>201</v>
      </c>
      <c r="F29" s="167">
        <v>0.4</v>
      </c>
      <c r="G29" s="167">
        <v>0.4</v>
      </c>
      <c r="H29" s="167">
        <v>0.4</v>
      </c>
      <c r="I29" s="167">
        <v>0.4</v>
      </c>
      <c r="J29" s="167">
        <v>0.4</v>
      </c>
      <c r="K29" s="167">
        <v>0.4</v>
      </c>
      <c r="L29" s="167">
        <v>0.4</v>
      </c>
      <c r="M29" s="167">
        <v>0.4</v>
      </c>
      <c r="N29" s="167">
        <v>0.4</v>
      </c>
      <c r="O29" s="167">
        <v>0.5</v>
      </c>
      <c r="P29" s="167">
        <v>0.5</v>
      </c>
      <c r="Q29" s="167">
        <v>0.5</v>
      </c>
      <c r="R29" s="139"/>
      <c r="S29" s="136" t="s">
        <v>202</v>
      </c>
      <c r="T29" s="136"/>
      <c r="W29" s="168">
        <v>0.6</v>
      </c>
      <c r="X29" s="168">
        <v>0.6</v>
      </c>
      <c r="Y29" s="168">
        <f>X29</f>
        <v>0.6</v>
      </c>
      <c r="Z29" s="168">
        <v>0.7</v>
      </c>
      <c r="AA29" s="168">
        <v>0.7</v>
      </c>
      <c r="AB29" s="168">
        <v>0.8</v>
      </c>
      <c r="AC29" s="168">
        <v>0.8</v>
      </c>
      <c r="AD29" s="168">
        <v>0.9</v>
      </c>
      <c r="AE29" s="168">
        <v>0.9</v>
      </c>
      <c r="AF29" s="168">
        <v>1</v>
      </c>
      <c r="AG29" s="168">
        <v>1</v>
      </c>
      <c r="AH29" s="168">
        <v>1</v>
      </c>
      <c r="AI29" s="139"/>
      <c r="AJ29" s="169">
        <v>0.5</v>
      </c>
      <c r="AK29" s="169">
        <v>0.3</v>
      </c>
      <c r="AL29" s="169">
        <v>0.3</v>
      </c>
      <c r="AM29" s="169">
        <v>0.4</v>
      </c>
      <c r="AN29" s="169">
        <v>0.5</v>
      </c>
      <c r="AO29" s="169">
        <v>0.5</v>
      </c>
      <c r="AP29" s="169">
        <v>0.5</v>
      </c>
      <c r="AQ29" s="169">
        <v>0.5</v>
      </c>
      <c r="AR29" s="169">
        <v>0.5</v>
      </c>
      <c r="AS29" s="169">
        <v>0.5</v>
      </c>
      <c r="AT29" s="169">
        <v>0.5</v>
      </c>
      <c r="AU29" s="169">
        <v>0.5</v>
      </c>
      <c r="BJ29" s="117" t="s">
        <v>203</v>
      </c>
    </row>
    <row r="30" spans="2:62" x14ac:dyDescent="0.25">
      <c r="B30" s="136" t="s">
        <v>200</v>
      </c>
      <c r="C30" s="136" t="s">
        <v>204</v>
      </c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39"/>
      <c r="S30" s="136"/>
      <c r="T30" s="136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39"/>
      <c r="AJ30" s="169"/>
      <c r="AK30" s="169"/>
      <c r="AL30" s="169"/>
      <c r="AM30" s="169"/>
      <c r="AN30" s="169"/>
      <c r="AO30" s="169"/>
      <c r="AP30" s="169">
        <v>0.1</v>
      </c>
      <c r="AQ30" s="169">
        <v>0.1</v>
      </c>
      <c r="AR30" s="169">
        <v>0.1</v>
      </c>
      <c r="AS30" s="169">
        <v>0.1</v>
      </c>
      <c r="AT30" s="169">
        <v>0.1</v>
      </c>
      <c r="AU30" s="169">
        <v>0.1</v>
      </c>
    </row>
    <row r="31" spans="2:62" x14ac:dyDescent="0.25">
      <c r="B31" s="136" t="s">
        <v>200</v>
      </c>
      <c r="C31" s="136" t="s">
        <v>205</v>
      </c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9"/>
      <c r="S31" s="136" t="s">
        <v>200</v>
      </c>
      <c r="T31" s="136" t="s">
        <v>206</v>
      </c>
      <c r="W31" s="153">
        <f>100*15*(1-20%)</f>
        <v>1200</v>
      </c>
      <c r="X31" s="153">
        <f>100*15</f>
        <v>1500</v>
      </c>
      <c r="Y31" s="153">
        <f>X31*(1+1%)</f>
        <v>1515</v>
      </c>
      <c r="Z31" s="153">
        <f t="shared" ref="Z31:AH31" si="3">Y31*(1+1%)</f>
        <v>1530.15</v>
      </c>
      <c r="AA31" s="153">
        <f t="shared" si="3"/>
        <v>1545.4515000000001</v>
      </c>
      <c r="AB31" s="153">
        <f t="shared" si="3"/>
        <v>1560.9060150000003</v>
      </c>
      <c r="AC31" s="153">
        <f t="shared" si="3"/>
        <v>1576.5150751500003</v>
      </c>
      <c r="AD31" s="153">
        <f t="shared" si="3"/>
        <v>1592.2802259015002</v>
      </c>
      <c r="AE31" s="153">
        <f t="shared" si="3"/>
        <v>1608.2030281605153</v>
      </c>
      <c r="AF31" s="153">
        <f t="shared" si="3"/>
        <v>1624.2850584421203</v>
      </c>
      <c r="AG31" s="153">
        <f t="shared" si="3"/>
        <v>1640.5279090265415</v>
      </c>
      <c r="AH31" s="153">
        <f t="shared" si="3"/>
        <v>1656.9331881168068</v>
      </c>
      <c r="AI31" s="139"/>
      <c r="AJ31" s="170">
        <f>ROUNDUP(AJ8/AJ51,0)</f>
        <v>2099</v>
      </c>
      <c r="AK31" s="170">
        <f>ROUNDUP(AK8/AK51,0)</f>
        <v>2321</v>
      </c>
      <c r="AL31" s="170">
        <f>ROUNDUP(AL8/AL51,0)</f>
        <v>2700</v>
      </c>
      <c r="AM31" s="170">
        <f>ROUNDUP(AM8/AM51,0)</f>
        <v>1789</v>
      </c>
      <c r="AN31" s="170">
        <f>ROUNDUP(AN8/AN51,0)</f>
        <v>1622</v>
      </c>
      <c r="AO31" s="171">
        <f>120*15</f>
        <v>1800</v>
      </c>
      <c r="AP31" s="171">
        <f>140*15</f>
        <v>2100</v>
      </c>
      <c r="AQ31" s="171">
        <f>155*15</f>
        <v>2325</v>
      </c>
      <c r="AR31" s="171">
        <f>155*15</f>
        <v>2325</v>
      </c>
      <c r="AS31" s="171">
        <f>160*15</f>
        <v>2400</v>
      </c>
      <c r="AT31" s="171">
        <f>160*15</f>
        <v>2400</v>
      </c>
      <c r="AU31" s="171">
        <f>160*15</f>
        <v>2400</v>
      </c>
      <c r="AV31" s="172">
        <f>AU31/AJ31-1</f>
        <v>0.14340161981896138</v>
      </c>
      <c r="BJ31" s="117" t="s">
        <v>207</v>
      </c>
    </row>
    <row r="32" spans="2:62" x14ac:dyDescent="0.25">
      <c r="B32" s="143" t="s">
        <v>200</v>
      </c>
      <c r="C32" s="143" t="s">
        <v>208</v>
      </c>
      <c r="D32" s="145"/>
      <c r="E32" s="145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9"/>
      <c r="S32" s="136"/>
      <c r="T32" s="136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39"/>
      <c r="AJ32" s="170">
        <f>(AJ11*AJ31)/AJ54</f>
        <v>0</v>
      </c>
      <c r="AK32" s="170">
        <f>(AK11*AK31)/AK54</f>
        <v>0</v>
      </c>
      <c r="AL32" s="170">
        <f>(AL11*AL31)/AL54</f>
        <v>0</v>
      </c>
      <c r="AM32" s="170">
        <f>(AM11*AM31)/AM54</f>
        <v>0</v>
      </c>
      <c r="AN32" s="170">
        <f>(AN11*AN31)/AN54</f>
        <v>0</v>
      </c>
      <c r="AO32" s="171">
        <v>0</v>
      </c>
      <c r="AP32" s="171">
        <f t="shared" ref="AO32:AV33" si="4">200*15</f>
        <v>3000</v>
      </c>
      <c r="AQ32" s="171">
        <f t="shared" si="4"/>
        <v>3000</v>
      </c>
      <c r="AR32" s="171">
        <f t="shared" si="4"/>
        <v>3000</v>
      </c>
      <c r="AS32" s="171">
        <f t="shared" si="4"/>
        <v>3000</v>
      </c>
      <c r="AT32" s="171">
        <f t="shared" si="4"/>
        <v>3000</v>
      </c>
      <c r="AU32" s="171">
        <f t="shared" si="4"/>
        <v>3000</v>
      </c>
      <c r="AV32" s="172" t="e">
        <f t="shared" ref="AV32:AV49" si="5">AU32/AJ32-1</f>
        <v>#DIV/0!</v>
      </c>
      <c r="BJ32" s="117" t="s">
        <v>207</v>
      </c>
    </row>
    <row r="33" spans="2:62" x14ac:dyDescent="0.25">
      <c r="B33" s="143" t="s">
        <v>200</v>
      </c>
      <c r="C33" s="143" t="s">
        <v>209</v>
      </c>
      <c r="D33" s="145"/>
      <c r="E33" s="145"/>
      <c r="F33" s="138">
        <v>814.97777777777776</v>
      </c>
      <c r="G33" s="138">
        <v>675.24444444444453</v>
      </c>
      <c r="H33" s="138">
        <v>988.71111111111111</v>
      </c>
      <c r="I33" s="138">
        <v>1116.9333333333334</v>
      </c>
      <c r="J33" s="138">
        <v>935.09090909090912</v>
      </c>
      <c r="K33" s="138">
        <v>755.82222222222219</v>
      </c>
      <c r="L33" s="138">
        <v>970.23448275862074</v>
      </c>
      <c r="M33" s="138">
        <v>1100.1290322580646</v>
      </c>
      <c r="N33" s="138">
        <v>1195.6884207027288</v>
      </c>
      <c r="O33" s="138">
        <v>1200</v>
      </c>
      <c r="P33" s="138">
        <v>1275</v>
      </c>
      <c r="Q33" s="138">
        <v>1350</v>
      </c>
      <c r="R33" s="139"/>
      <c r="S33" s="136"/>
      <c r="T33" s="136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39"/>
      <c r="AJ33" s="170">
        <f>(AJ10*AJ29)/AJ53</f>
        <v>1713.8863636363637</v>
      </c>
      <c r="AK33" s="170">
        <f>(AK10*AK29)/AK53</f>
        <v>2477.5116279069766</v>
      </c>
      <c r="AL33" s="170">
        <f>(AL10*AL29)/AL53</f>
        <v>2474.7449392712551</v>
      </c>
      <c r="AM33" s="170">
        <f>(AM10*AM29)/AM53</f>
        <v>2709.6065573770497</v>
      </c>
      <c r="AN33" s="170">
        <f>(AN10*AN29)/AN53</f>
        <v>3024.1935483870966</v>
      </c>
      <c r="AO33" s="171">
        <f t="shared" si="4"/>
        <v>3000</v>
      </c>
      <c r="AP33" s="171">
        <f t="shared" si="4"/>
        <v>3000</v>
      </c>
      <c r="AQ33" s="171">
        <f t="shared" si="4"/>
        <v>3000</v>
      </c>
      <c r="AR33" s="171">
        <f t="shared" si="4"/>
        <v>3000</v>
      </c>
      <c r="AS33" s="171">
        <f t="shared" si="4"/>
        <v>3000</v>
      </c>
      <c r="AT33" s="171">
        <f t="shared" si="4"/>
        <v>3000</v>
      </c>
      <c r="AU33" s="171">
        <f t="shared" si="4"/>
        <v>3000</v>
      </c>
      <c r="AV33" s="172">
        <f t="shared" si="5"/>
        <v>0.75040776544535936</v>
      </c>
      <c r="BJ33" s="117" t="s">
        <v>207</v>
      </c>
    </row>
    <row r="34" spans="2:62" x14ac:dyDescent="0.25">
      <c r="B34" s="143" t="s">
        <v>210</v>
      </c>
      <c r="C34" s="143" t="s">
        <v>211</v>
      </c>
      <c r="D34" s="145"/>
      <c r="E34" s="145"/>
      <c r="F34" s="173">
        <v>0</v>
      </c>
      <c r="G34" s="173">
        <v>0</v>
      </c>
      <c r="H34" s="173">
        <v>0</v>
      </c>
      <c r="I34" s="173">
        <v>0</v>
      </c>
      <c r="J34" s="173">
        <v>0</v>
      </c>
      <c r="K34" s="173">
        <v>0</v>
      </c>
      <c r="L34" s="173">
        <v>0</v>
      </c>
      <c r="M34" s="173">
        <v>13.69975</v>
      </c>
      <c r="N34" s="173">
        <v>13.451526288726686</v>
      </c>
      <c r="O34" s="173">
        <v>16.000266611553439</v>
      </c>
      <c r="P34" s="173">
        <v>21.89917049286975</v>
      </c>
      <c r="Q34" s="173">
        <v>25.146454296654937</v>
      </c>
      <c r="R34" s="139"/>
      <c r="S34" s="136" t="s">
        <v>210</v>
      </c>
      <c r="T34" s="136" t="s">
        <v>211</v>
      </c>
      <c r="W34" s="153">
        <v>20.117163437323953</v>
      </c>
      <c r="X34" s="153">
        <f>W34+2</f>
        <v>22.117163437323953</v>
      </c>
      <c r="Y34" s="153">
        <f t="shared" ref="Y34:AH34" si="6">X34+2</f>
        <v>24.117163437323953</v>
      </c>
      <c r="Z34" s="153">
        <f t="shared" si="6"/>
        <v>26.117163437323953</v>
      </c>
      <c r="AA34" s="153">
        <f t="shared" si="6"/>
        <v>28.117163437323953</v>
      </c>
      <c r="AB34" s="153">
        <f t="shared" si="6"/>
        <v>30.117163437323953</v>
      </c>
      <c r="AC34" s="153">
        <f t="shared" si="6"/>
        <v>32.117163437323953</v>
      </c>
      <c r="AD34" s="153">
        <f t="shared" si="6"/>
        <v>34.117163437323953</v>
      </c>
      <c r="AE34" s="153">
        <f t="shared" si="6"/>
        <v>36.117163437323953</v>
      </c>
      <c r="AF34" s="153">
        <f t="shared" si="6"/>
        <v>38.117163437323953</v>
      </c>
      <c r="AG34" s="153">
        <f t="shared" si="6"/>
        <v>40.117163437323953</v>
      </c>
      <c r="AH34" s="153">
        <f t="shared" si="6"/>
        <v>42.117163437323953</v>
      </c>
      <c r="AI34" s="139"/>
      <c r="AJ34" s="170">
        <f t="shared" ref="AJ34:AM34" si="7">ROUNDUP((AJ14)/AJ54,)</f>
        <v>5</v>
      </c>
      <c r="AK34" s="170">
        <f t="shared" si="7"/>
        <v>8</v>
      </c>
      <c r="AL34" s="170">
        <f t="shared" si="7"/>
        <v>24</v>
      </c>
      <c r="AM34" s="170">
        <f t="shared" si="7"/>
        <v>35</v>
      </c>
      <c r="AN34" s="170">
        <f>ROUNDUP((AN14)/AN54,)</f>
        <v>42</v>
      </c>
      <c r="AO34" s="171">
        <v>42</v>
      </c>
      <c r="AP34" s="171">
        <v>42</v>
      </c>
      <c r="AQ34" s="171">
        <v>42</v>
      </c>
      <c r="AR34" s="171">
        <v>42</v>
      </c>
      <c r="AS34" s="171">
        <v>45</v>
      </c>
      <c r="AT34" s="171">
        <v>45</v>
      </c>
      <c r="AU34" s="171">
        <v>45</v>
      </c>
      <c r="AV34" s="172">
        <f t="shared" si="5"/>
        <v>8</v>
      </c>
    </row>
    <row r="35" spans="2:62" s="117" customFormat="1" outlineLevel="1" x14ac:dyDescent="0.25">
      <c r="B35" s="143" t="s">
        <v>212</v>
      </c>
      <c r="C35" s="143" t="s">
        <v>213</v>
      </c>
      <c r="D35" s="145"/>
      <c r="E35" s="145"/>
      <c r="F35" s="174">
        <v>0</v>
      </c>
      <c r="G35" s="174">
        <v>0</v>
      </c>
      <c r="H35" s="174">
        <v>0</v>
      </c>
      <c r="I35" s="174">
        <v>0</v>
      </c>
      <c r="J35" s="174">
        <v>0</v>
      </c>
      <c r="K35" s="174">
        <v>0</v>
      </c>
      <c r="L35" s="174">
        <v>0</v>
      </c>
      <c r="M35" s="174">
        <v>0</v>
      </c>
      <c r="N35" s="174">
        <v>0</v>
      </c>
      <c r="O35" s="174">
        <v>0</v>
      </c>
      <c r="P35" s="174">
        <v>0</v>
      </c>
      <c r="Q35" s="174">
        <v>0</v>
      </c>
      <c r="R35" s="139"/>
      <c r="S35" s="136" t="s">
        <v>212</v>
      </c>
      <c r="T35" s="136" t="s">
        <v>213</v>
      </c>
      <c r="W35" s="175">
        <v>0</v>
      </c>
      <c r="X35" s="175">
        <v>0</v>
      </c>
      <c r="Y35" s="175">
        <v>0</v>
      </c>
      <c r="Z35" s="175">
        <v>0</v>
      </c>
      <c r="AA35" s="175">
        <v>0</v>
      </c>
      <c r="AB35" s="175">
        <v>0</v>
      </c>
      <c r="AC35" s="175">
        <v>0</v>
      </c>
      <c r="AD35" s="175">
        <v>0</v>
      </c>
      <c r="AE35" s="175">
        <v>0</v>
      </c>
      <c r="AF35" s="175">
        <v>50</v>
      </c>
      <c r="AG35" s="175">
        <f>AF35+5</f>
        <v>55</v>
      </c>
      <c r="AH35" s="175">
        <f>AG35+5</f>
        <v>60</v>
      </c>
      <c r="AI35" s="139"/>
      <c r="AJ35" s="176">
        <v>0</v>
      </c>
      <c r="AK35" s="176">
        <v>0</v>
      </c>
      <c r="AL35" s="176">
        <v>0</v>
      </c>
      <c r="AM35" s="176">
        <v>0</v>
      </c>
      <c r="AN35" s="176">
        <v>0</v>
      </c>
      <c r="AO35" s="174">
        <v>0</v>
      </c>
      <c r="AP35" s="174">
        <v>30</v>
      </c>
      <c r="AQ35" s="174">
        <v>30</v>
      </c>
      <c r="AR35" s="174">
        <v>30</v>
      </c>
      <c r="AS35" s="174">
        <v>32</v>
      </c>
      <c r="AT35" s="174">
        <v>32</v>
      </c>
      <c r="AU35" s="174">
        <v>32</v>
      </c>
      <c r="AV35" s="172" t="e">
        <f t="shared" si="5"/>
        <v>#DIV/0!</v>
      </c>
      <c r="BJ35" s="117" t="s">
        <v>214</v>
      </c>
    </row>
    <row r="36" spans="2:62" x14ac:dyDescent="0.25">
      <c r="B36" s="143" t="s">
        <v>215</v>
      </c>
      <c r="C36" s="143" t="s">
        <v>216</v>
      </c>
      <c r="D36" s="145"/>
      <c r="E36" s="145"/>
      <c r="F36" s="173">
        <v>14.911764705882353</v>
      </c>
      <c r="G36" s="173">
        <v>21.301587301587301</v>
      </c>
      <c r="H36" s="173">
        <v>31.606557377049182</v>
      </c>
      <c r="I36" s="173">
        <v>39.274999999999999</v>
      </c>
      <c r="J36" s="173">
        <v>45.641975308641975</v>
      </c>
      <c r="K36" s="173">
        <v>40.759493670886073</v>
      </c>
      <c r="L36" s="173">
        <v>47.205896103896102</v>
      </c>
      <c r="M36" s="173">
        <v>52.412369230769229</v>
      </c>
      <c r="N36" s="173">
        <v>66.890799638252147</v>
      </c>
      <c r="O36" s="173">
        <v>80</v>
      </c>
      <c r="P36" s="173">
        <v>85</v>
      </c>
      <c r="Q36" s="173">
        <v>100</v>
      </c>
      <c r="R36" s="139"/>
      <c r="S36" s="136" t="s">
        <v>215</v>
      </c>
      <c r="T36" s="136" t="s">
        <v>216</v>
      </c>
      <c r="W36" s="153">
        <v>80</v>
      </c>
      <c r="X36" s="153">
        <v>100</v>
      </c>
      <c r="Y36" s="153">
        <f>X36+1</f>
        <v>101</v>
      </c>
      <c r="Z36" s="153">
        <f t="shared" ref="Z36:AH36" si="8">Y36+1</f>
        <v>102</v>
      </c>
      <c r="AA36" s="153">
        <f t="shared" si="8"/>
        <v>103</v>
      </c>
      <c r="AB36" s="153">
        <f t="shared" si="8"/>
        <v>104</v>
      </c>
      <c r="AC36" s="153">
        <f t="shared" si="8"/>
        <v>105</v>
      </c>
      <c r="AD36" s="153">
        <f t="shared" si="8"/>
        <v>106</v>
      </c>
      <c r="AE36" s="153">
        <f t="shared" si="8"/>
        <v>107</v>
      </c>
      <c r="AF36" s="153">
        <f t="shared" si="8"/>
        <v>108</v>
      </c>
      <c r="AG36" s="153">
        <f t="shared" si="8"/>
        <v>109</v>
      </c>
      <c r="AH36" s="153">
        <f t="shared" si="8"/>
        <v>110</v>
      </c>
      <c r="AI36" s="139"/>
      <c r="AJ36" s="170">
        <f>ROUNDUP(AJ17/AJ56,)</f>
        <v>77</v>
      </c>
      <c r="AK36" s="170">
        <f>ROUNDUP(AK17/AK56,)</f>
        <v>73</v>
      </c>
      <c r="AL36" s="170">
        <f>ROUNDUP(AL17/AL56,)</f>
        <v>94</v>
      </c>
      <c r="AM36" s="170">
        <f>ROUNDUP(AM17/AM56,)</f>
        <v>100</v>
      </c>
      <c r="AN36" s="170">
        <v>105</v>
      </c>
      <c r="AO36" s="171">
        <v>105</v>
      </c>
      <c r="AP36" s="171">
        <f t="shared" ref="AP36:AQ36" si="9">AO36</f>
        <v>105</v>
      </c>
      <c r="AQ36" s="171">
        <f t="shared" si="9"/>
        <v>105</v>
      </c>
      <c r="AR36" s="171">
        <f>AQ36</f>
        <v>105</v>
      </c>
      <c r="AS36" s="171">
        <f>AR36+5</f>
        <v>110</v>
      </c>
      <c r="AT36" s="171">
        <f t="shared" ref="AT36:AU36" si="10">AS36</f>
        <v>110</v>
      </c>
      <c r="AU36" s="171">
        <f t="shared" si="10"/>
        <v>110</v>
      </c>
      <c r="AV36" s="172">
        <f t="shared" si="5"/>
        <v>0.4285714285714286</v>
      </c>
    </row>
    <row r="37" spans="2:62" x14ac:dyDescent="0.25">
      <c r="B37" s="136" t="s">
        <v>217</v>
      </c>
      <c r="C37" s="136" t="s">
        <v>218</v>
      </c>
      <c r="F37" s="173">
        <v>31.214285714285715</v>
      </c>
      <c r="G37" s="173">
        <v>44.142857142857146</v>
      </c>
      <c r="H37" s="173">
        <v>62.928571428571431</v>
      </c>
      <c r="I37" s="173">
        <v>90</v>
      </c>
      <c r="J37" s="173">
        <v>103.92857142857143</v>
      </c>
      <c r="K37" s="173">
        <v>92.307692307692307</v>
      </c>
      <c r="L37" s="173">
        <v>99.428571428571431</v>
      </c>
      <c r="M37" s="173">
        <v>127.90909090909091</v>
      </c>
      <c r="N37" s="173">
        <v>142.60407035099286</v>
      </c>
      <c r="O37" s="173">
        <v>285.20814070198571</v>
      </c>
      <c r="P37" s="173">
        <v>300.20814070198571</v>
      </c>
      <c r="Q37" s="173">
        <v>315.20814070198571</v>
      </c>
      <c r="R37" s="139"/>
      <c r="S37" s="136" t="s">
        <v>217</v>
      </c>
      <c r="T37" s="136" t="s">
        <v>218</v>
      </c>
      <c r="W37" s="153">
        <v>252.16651256158858</v>
      </c>
      <c r="X37" s="153">
        <v>315.20814070198571</v>
      </c>
      <c r="Y37" s="153">
        <f>X37+5</f>
        <v>320.20814070198571</v>
      </c>
      <c r="Z37" s="153">
        <f t="shared" ref="Z37:AH37" si="11">Y37+5</f>
        <v>325.20814070198571</v>
      </c>
      <c r="AA37" s="153">
        <f t="shared" si="11"/>
        <v>330.20814070198571</v>
      </c>
      <c r="AB37" s="153">
        <f t="shared" si="11"/>
        <v>335.20814070198571</v>
      </c>
      <c r="AC37" s="153">
        <f t="shared" si="11"/>
        <v>340.20814070198571</v>
      </c>
      <c r="AD37" s="153">
        <f t="shared" si="11"/>
        <v>345.20814070198571</v>
      </c>
      <c r="AE37" s="153">
        <f t="shared" si="11"/>
        <v>350.20814070198571</v>
      </c>
      <c r="AF37" s="153">
        <f t="shared" si="11"/>
        <v>355.20814070198571</v>
      </c>
      <c r="AG37" s="153">
        <f t="shared" si="11"/>
        <v>360.20814070198571</v>
      </c>
      <c r="AH37" s="153">
        <f t="shared" si="11"/>
        <v>365.20814070198571</v>
      </c>
      <c r="AI37" s="139"/>
      <c r="AJ37" s="147">
        <v>0</v>
      </c>
      <c r="AK37" s="147">
        <v>0</v>
      </c>
      <c r="AL37" s="147">
        <v>0</v>
      </c>
      <c r="AM37" s="147">
        <v>0</v>
      </c>
      <c r="AN37" s="147">
        <v>0</v>
      </c>
      <c r="AO37" s="148">
        <v>0</v>
      </c>
      <c r="AP37" s="148">
        <v>0</v>
      </c>
      <c r="AQ37" s="148">
        <v>0</v>
      </c>
      <c r="AR37" s="148">
        <v>0</v>
      </c>
      <c r="AS37" s="148">
        <v>0</v>
      </c>
      <c r="AT37" s="148">
        <v>0</v>
      </c>
      <c r="AU37" s="148">
        <v>0</v>
      </c>
      <c r="AV37" s="172" t="e">
        <f t="shared" si="5"/>
        <v>#DIV/0!</v>
      </c>
    </row>
    <row r="38" spans="2:62" x14ac:dyDescent="0.25">
      <c r="B38" s="177" t="s">
        <v>219</v>
      </c>
      <c r="C38" s="178" t="s">
        <v>220</v>
      </c>
      <c r="F38" s="173">
        <v>68.2</v>
      </c>
      <c r="G38" s="173">
        <v>90.333333333333329</v>
      </c>
      <c r="H38" s="173">
        <v>129.80000000000001</v>
      </c>
      <c r="I38" s="173">
        <v>210.86666666666667</v>
      </c>
      <c r="J38" s="173">
        <v>218.76470588235293</v>
      </c>
      <c r="K38" s="173">
        <v>180.66666666666666</v>
      </c>
      <c r="L38" s="173">
        <v>216.8235294117647</v>
      </c>
      <c r="M38" s="173">
        <v>213.29411764705881</v>
      </c>
      <c r="N38" s="173">
        <v>236.94117647058823</v>
      </c>
      <c r="O38" s="173">
        <v>300</v>
      </c>
      <c r="P38" s="173">
        <v>327.27272727272725</v>
      </c>
      <c r="Q38" s="173">
        <v>348.38709677419354</v>
      </c>
      <c r="R38" s="179"/>
      <c r="S38" s="136" t="s">
        <v>221</v>
      </c>
      <c r="T38" s="136" t="s">
        <v>220</v>
      </c>
      <c r="W38" s="153">
        <v>278.70967741935482</v>
      </c>
      <c r="X38" s="153">
        <f>360/15*15</f>
        <v>360</v>
      </c>
      <c r="Y38" s="153">
        <f>360/14.9*15</f>
        <v>362.41610738255031</v>
      </c>
      <c r="Z38" s="153">
        <f>360/14.8*15</f>
        <v>364.86486486486484</v>
      </c>
      <c r="AA38" s="153">
        <f>360/14.7*15</f>
        <v>367.34693877551024</v>
      </c>
      <c r="AB38" s="153">
        <f>360/14.6*15</f>
        <v>369.86301369863014</v>
      </c>
      <c r="AC38" s="153">
        <f>360/14.5*15</f>
        <v>372.41379310344826</v>
      </c>
      <c r="AD38" s="153">
        <f>360/14.4*15</f>
        <v>375</v>
      </c>
      <c r="AE38" s="153">
        <f>360/14.3*15</f>
        <v>377.6223776223776</v>
      </c>
      <c r="AF38" s="153">
        <f>360/14.2*15</f>
        <v>380.28169014084511</v>
      </c>
      <c r="AG38" s="153">
        <f>360/14.1*15</f>
        <v>382.97872340425533</v>
      </c>
      <c r="AH38" s="153">
        <f>360/14*15</f>
        <v>385.71428571428572</v>
      </c>
      <c r="AI38" s="179"/>
      <c r="AJ38" s="170">
        <f>ROUNDUP(SUM(AJ16:AJ17,AJ20)/AJ59,)</f>
        <v>386</v>
      </c>
      <c r="AK38" s="170">
        <f>ROUNDUP(SUM(AK16:AK17,AK20)/AK59,)</f>
        <v>371</v>
      </c>
      <c r="AL38" s="170">
        <f>ROUNDUP(SUM(AL16:AL17,AL20)/AL59,)</f>
        <v>519</v>
      </c>
      <c r="AM38" s="170">
        <f>ROUNDUP(SUM(AM16:AM17,AM20)/AM59,)</f>
        <v>581</v>
      </c>
      <c r="AN38" s="170">
        <v>600</v>
      </c>
      <c r="AO38" s="171">
        <v>600</v>
      </c>
      <c r="AP38" s="171">
        <v>600</v>
      </c>
      <c r="AQ38" s="171">
        <v>600</v>
      </c>
      <c r="AR38" s="171">
        <v>600</v>
      </c>
      <c r="AS38" s="171">
        <v>600</v>
      </c>
      <c r="AT38" s="171">
        <v>600</v>
      </c>
      <c r="AU38" s="171">
        <v>600</v>
      </c>
      <c r="AV38" s="172">
        <f t="shared" si="5"/>
        <v>0.55440414507772018</v>
      </c>
    </row>
    <row r="39" spans="2:62" x14ac:dyDescent="0.25">
      <c r="B39" s="136" t="s">
        <v>222</v>
      </c>
      <c r="C39" s="136" t="s">
        <v>223</v>
      </c>
      <c r="F39" s="154">
        <v>11.333333333333334</v>
      </c>
      <c r="G39" s="154">
        <v>10.5</v>
      </c>
      <c r="H39" s="154">
        <v>10.166666666666666</v>
      </c>
      <c r="I39" s="154">
        <v>13.333333333333334</v>
      </c>
      <c r="J39" s="154">
        <v>13.5</v>
      </c>
      <c r="K39" s="154">
        <v>13.166666666666666</v>
      </c>
      <c r="L39" s="154">
        <v>12.833333333333334</v>
      </c>
      <c r="M39" s="154">
        <v>12.166666666666666</v>
      </c>
      <c r="N39" s="154">
        <v>9.2857142857142865</v>
      </c>
      <c r="O39" s="154">
        <v>12</v>
      </c>
      <c r="P39" s="154">
        <v>13</v>
      </c>
      <c r="Q39" s="154">
        <v>13.5</v>
      </c>
      <c r="R39" s="179"/>
      <c r="S39" s="136" t="s">
        <v>222</v>
      </c>
      <c r="T39" s="136" t="s">
        <v>223</v>
      </c>
      <c r="W39" s="153">
        <v>13.5</v>
      </c>
      <c r="X39" s="153">
        <f>W39</f>
        <v>13.5</v>
      </c>
      <c r="Y39" s="153">
        <f t="shared" ref="Y39:Z39" si="12">X39</f>
        <v>13.5</v>
      </c>
      <c r="Z39" s="153">
        <f t="shared" si="12"/>
        <v>13.5</v>
      </c>
      <c r="AA39" s="153">
        <v>15</v>
      </c>
      <c r="AB39" s="153">
        <f t="shared" ref="AB39" si="13">AA39</f>
        <v>15</v>
      </c>
      <c r="AC39" s="153">
        <v>15</v>
      </c>
      <c r="AD39" s="153">
        <v>15</v>
      </c>
      <c r="AE39" s="153">
        <v>15</v>
      </c>
      <c r="AF39" s="153">
        <v>15</v>
      </c>
      <c r="AG39" s="153">
        <v>15</v>
      </c>
      <c r="AH39" s="153">
        <v>15</v>
      </c>
      <c r="AI39" s="179"/>
      <c r="AJ39" s="170">
        <f>ROUNDUP(SUM(AJ54:AJ56)/AJ57,)</f>
        <v>14</v>
      </c>
      <c r="AK39" s="170">
        <f>ROUNDUP(SUM(AK54:AK56)/AK57,)</f>
        <v>14</v>
      </c>
      <c r="AL39" s="170">
        <f>ROUNDUP(SUM(AL54:AL56)/AL57,)</f>
        <v>12</v>
      </c>
      <c r="AM39" s="170">
        <f>ROUNDUP(SUM(AM54:AM56)/AM57,)</f>
        <v>11</v>
      </c>
      <c r="AN39" s="170">
        <f>ROUNDUP(SUM(AN54:AN56)/AN57,)</f>
        <v>11</v>
      </c>
      <c r="AO39" s="171">
        <v>12</v>
      </c>
      <c r="AP39" s="171">
        <v>12</v>
      </c>
      <c r="AQ39" s="171">
        <v>13</v>
      </c>
      <c r="AR39" s="171">
        <v>13</v>
      </c>
      <c r="AS39" s="171">
        <v>15</v>
      </c>
      <c r="AT39" s="171">
        <v>15</v>
      </c>
      <c r="AU39" s="171">
        <v>15</v>
      </c>
      <c r="AV39" s="172">
        <f t="shared" si="5"/>
        <v>7.1428571428571397E-2</v>
      </c>
    </row>
    <row r="40" spans="2:62" x14ac:dyDescent="0.25">
      <c r="B40" s="117" t="s">
        <v>224</v>
      </c>
      <c r="C40" s="136" t="s">
        <v>225</v>
      </c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9"/>
      <c r="S40" s="136"/>
      <c r="T40" s="136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3"/>
      <c r="AI40" s="179"/>
      <c r="AJ40" s="170">
        <f>ROUNDUP(SUM(AJ59)/AJ60,)</f>
        <v>14</v>
      </c>
      <c r="AK40" s="170">
        <f t="shared" ref="AK40:AN40" si="14">ROUNDUP(SUM(AK59)/AK60,)</f>
        <v>13</v>
      </c>
      <c r="AL40" s="170">
        <f t="shared" si="14"/>
        <v>12</v>
      </c>
      <c r="AM40" s="170">
        <f t="shared" si="14"/>
        <v>11</v>
      </c>
      <c r="AN40" s="170">
        <f t="shared" si="14"/>
        <v>9</v>
      </c>
      <c r="AO40" s="171">
        <v>15</v>
      </c>
      <c r="AP40" s="171">
        <v>15</v>
      </c>
      <c r="AQ40" s="171">
        <v>15</v>
      </c>
      <c r="AR40" s="171">
        <v>15</v>
      </c>
      <c r="AS40" s="171">
        <v>15</v>
      </c>
      <c r="AT40" s="171">
        <v>15</v>
      </c>
      <c r="AU40" s="171">
        <v>15</v>
      </c>
      <c r="AV40" s="172">
        <f t="shared" si="5"/>
        <v>7.1428571428571397E-2</v>
      </c>
    </row>
    <row r="41" spans="2:62" x14ac:dyDescent="0.25">
      <c r="B41" s="117" t="s">
        <v>226</v>
      </c>
      <c r="C41" s="136" t="s">
        <v>227</v>
      </c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9"/>
      <c r="S41" s="136"/>
      <c r="T41" s="136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79"/>
      <c r="AJ41" s="170">
        <f>ROUNDUP(SUM(AJ65)/AJ66,)</f>
        <v>5</v>
      </c>
      <c r="AK41" s="170">
        <f t="shared" ref="AK41:AN41" si="15">ROUNDUP(SUM(AK65)/AK66,)</f>
        <v>5</v>
      </c>
      <c r="AL41" s="170">
        <f t="shared" si="15"/>
        <v>4</v>
      </c>
      <c r="AM41" s="170">
        <f t="shared" si="15"/>
        <v>4</v>
      </c>
      <c r="AN41" s="170">
        <f t="shared" si="15"/>
        <v>2</v>
      </c>
      <c r="AO41" s="171">
        <v>15</v>
      </c>
      <c r="AP41" s="171">
        <v>15</v>
      </c>
      <c r="AQ41" s="171">
        <v>15</v>
      </c>
      <c r="AR41" s="171">
        <v>15</v>
      </c>
      <c r="AS41" s="171">
        <v>15</v>
      </c>
      <c r="AT41" s="171">
        <v>15</v>
      </c>
      <c r="AU41" s="171">
        <v>15</v>
      </c>
      <c r="AV41" s="172"/>
    </row>
    <row r="42" spans="2:62" x14ac:dyDescent="0.25">
      <c r="B42" s="180" t="s">
        <v>228</v>
      </c>
      <c r="C42" s="136" t="s">
        <v>229</v>
      </c>
      <c r="F42" s="173">
        <v>10.199999999999999</v>
      </c>
      <c r="G42" s="173">
        <v>13.692307692307692</v>
      </c>
      <c r="H42" s="173">
        <v>23.166666666666668</v>
      </c>
      <c r="I42" s="173">
        <v>29.181818181818183</v>
      </c>
      <c r="J42" s="173">
        <v>41.18181818181818</v>
      </c>
      <c r="K42" s="173">
        <v>35.6</v>
      </c>
      <c r="L42" s="173">
        <v>37.700000000000003</v>
      </c>
      <c r="M42" s="173">
        <v>43.909090909090907</v>
      </c>
      <c r="N42" s="173">
        <v>45.6</v>
      </c>
      <c r="O42" s="173">
        <v>75</v>
      </c>
      <c r="P42" s="173">
        <v>90</v>
      </c>
      <c r="Q42" s="173">
        <v>105</v>
      </c>
      <c r="R42" s="179"/>
      <c r="S42" s="136" t="s">
        <v>228</v>
      </c>
      <c r="T42" s="136"/>
      <c r="W42" s="153">
        <v>84</v>
      </c>
      <c r="X42" s="153">
        <f>7*15</f>
        <v>105</v>
      </c>
      <c r="Y42" s="175">
        <f>7.1*15</f>
        <v>106.5</v>
      </c>
      <c r="Z42" s="175">
        <f>7.2*15</f>
        <v>108</v>
      </c>
      <c r="AA42" s="175">
        <f>7.3*15</f>
        <v>109.5</v>
      </c>
      <c r="AB42" s="175">
        <f>7.4*15</f>
        <v>111</v>
      </c>
      <c r="AC42" s="175">
        <f>7.5*15</f>
        <v>112.5</v>
      </c>
      <c r="AD42" s="175">
        <f>7.6*15</f>
        <v>114</v>
      </c>
      <c r="AE42" s="175">
        <f>7.7*15</f>
        <v>115.5</v>
      </c>
      <c r="AF42" s="175">
        <f>7.8*15</f>
        <v>117</v>
      </c>
      <c r="AG42" s="175">
        <f>7.9*15</f>
        <v>118.5</v>
      </c>
      <c r="AH42" s="175">
        <f>8*15</f>
        <v>120</v>
      </c>
      <c r="AI42" s="179"/>
      <c r="AJ42" s="170">
        <f>ROUNDUP(SUM(AJ21)/AJ61,)</f>
        <v>81</v>
      </c>
      <c r="AK42" s="170">
        <f>ROUNDUP(SUM(AK21)/AK61,)</f>
        <v>79</v>
      </c>
      <c r="AL42" s="170">
        <f>ROUNDUP(SUM(AL21)/AL61,)</f>
        <v>94</v>
      </c>
      <c r="AM42" s="170">
        <f>ROUNDUP(SUM(AM21)/AM61,)</f>
        <v>91</v>
      </c>
      <c r="AN42" s="170">
        <f>ROUNDUP(SUM(AN21)/AN61,)</f>
        <v>121</v>
      </c>
      <c r="AO42" s="181">
        <v>120</v>
      </c>
      <c r="AP42" s="181">
        <v>120</v>
      </c>
      <c r="AQ42" s="181">
        <v>120</v>
      </c>
      <c r="AR42" s="181">
        <v>120</v>
      </c>
      <c r="AS42" s="181">
        <v>120</v>
      </c>
      <c r="AT42" s="181">
        <v>120</v>
      </c>
      <c r="AU42" s="181">
        <v>120</v>
      </c>
      <c r="AV42" s="172">
        <f t="shared" si="5"/>
        <v>0.4814814814814814</v>
      </c>
    </row>
    <row r="43" spans="2:62" x14ac:dyDescent="0.25">
      <c r="B43" s="182" t="s">
        <v>230</v>
      </c>
      <c r="C43" s="136" t="s">
        <v>231</v>
      </c>
      <c r="F43" s="173">
        <v>6.125</v>
      </c>
      <c r="G43" s="173">
        <v>10.25</v>
      </c>
      <c r="H43" s="173">
        <v>21.125</v>
      </c>
      <c r="I43" s="173">
        <v>19</v>
      </c>
      <c r="J43" s="173">
        <v>14.25</v>
      </c>
      <c r="K43" s="173">
        <v>12.75</v>
      </c>
      <c r="L43" s="173">
        <v>14.5</v>
      </c>
      <c r="M43" s="173">
        <v>14.888888888888889</v>
      </c>
      <c r="N43" s="173">
        <v>24.555555555555557</v>
      </c>
      <c r="O43" s="173">
        <v>54.564561713873154</v>
      </c>
      <c r="P43" s="173">
        <v>55.202476340427843</v>
      </c>
      <c r="Q43" s="173">
        <v>69.738114244432381</v>
      </c>
      <c r="R43" s="179"/>
      <c r="S43" s="182" t="s">
        <v>230</v>
      </c>
      <c r="T43" s="136" t="s">
        <v>231</v>
      </c>
      <c r="W43" s="153">
        <v>62.764302819989148</v>
      </c>
      <c r="X43" s="153">
        <v>69.738114244432381</v>
      </c>
      <c r="Y43" s="153">
        <f t="shared" ref="Y43:AH43" si="16">X43+3</f>
        <v>72.738114244432381</v>
      </c>
      <c r="Z43" s="153">
        <f t="shared" si="16"/>
        <v>75.738114244432381</v>
      </c>
      <c r="AA43" s="153">
        <f t="shared" si="16"/>
        <v>78.738114244432381</v>
      </c>
      <c r="AB43" s="153">
        <f t="shared" si="16"/>
        <v>81.738114244432381</v>
      </c>
      <c r="AC43" s="153">
        <f t="shared" si="16"/>
        <v>84.738114244432381</v>
      </c>
      <c r="AD43" s="153">
        <f t="shared" si="16"/>
        <v>87.738114244432381</v>
      </c>
      <c r="AE43" s="153">
        <f t="shared" si="16"/>
        <v>90.738114244432381</v>
      </c>
      <c r="AF43" s="153">
        <f t="shared" si="16"/>
        <v>93.738114244432381</v>
      </c>
      <c r="AG43" s="153">
        <f t="shared" si="16"/>
        <v>96.738114244432381</v>
      </c>
      <c r="AH43" s="153">
        <f t="shared" si="16"/>
        <v>99.738114244432381</v>
      </c>
      <c r="AI43" s="179"/>
      <c r="AJ43" s="170">
        <f>ROUNDUP(AJ19/AJ64,0)</f>
        <v>20</v>
      </c>
      <c r="AK43" s="170">
        <f>ROUNDUP(AK19/AK64,0)</f>
        <v>110</v>
      </c>
      <c r="AL43" s="170">
        <f>ROUNDUP(AL19/AL64,0)</f>
        <v>154</v>
      </c>
      <c r="AM43" s="170">
        <f>ROUNDUP(AM19/AM64,0)</f>
        <v>656</v>
      </c>
      <c r="AN43" s="170">
        <f>ROUNDUP(AN19/AN64,0)</f>
        <v>109</v>
      </c>
      <c r="AO43" s="171">
        <f>AM43+3</f>
        <v>659</v>
      </c>
      <c r="AP43" s="171">
        <f t="shared" ref="AP43:AU43" si="17">AO43+3</f>
        <v>662</v>
      </c>
      <c r="AQ43" s="171">
        <f t="shared" si="17"/>
        <v>665</v>
      </c>
      <c r="AR43" s="171">
        <f t="shared" si="17"/>
        <v>668</v>
      </c>
      <c r="AS43" s="171">
        <f t="shared" si="17"/>
        <v>671</v>
      </c>
      <c r="AT43" s="171">
        <f t="shared" si="17"/>
        <v>674</v>
      </c>
      <c r="AU43" s="171">
        <f t="shared" si="17"/>
        <v>677</v>
      </c>
      <c r="AV43" s="172">
        <f t="shared" si="5"/>
        <v>32.85</v>
      </c>
      <c r="BJ43" s="117" t="s">
        <v>232</v>
      </c>
    </row>
    <row r="44" spans="2:62" x14ac:dyDescent="0.25">
      <c r="B44" s="136" t="s">
        <v>233</v>
      </c>
      <c r="C44" s="136" t="s">
        <v>234</v>
      </c>
      <c r="F44" s="173">
        <v>1</v>
      </c>
      <c r="G44" s="173">
        <v>1</v>
      </c>
      <c r="H44" s="173">
        <v>1</v>
      </c>
      <c r="I44" s="173">
        <v>2</v>
      </c>
      <c r="J44" s="173">
        <v>2</v>
      </c>
      <c r="K44" s="173">
        <v>2</v>
      </c>
      <c r="L44" s="173">
        <v>2</v>
      </c>
      <c r="M44" s="173">
        <v>2</v>
      </c>
      <c r="N44" s="173">
        <v>4</v>
      </c>
      <c r="O44" s="173">
        <v>5</v>
      </c>
      <c r="P44" s="173">
        <v>5</v>
      </c>
      <c r="Q44" s="173">
        <v>5</v>
      </c>
      <c r="R44" s="179"/>
      <c r="S44" s="136" t="s">
        <v>233</v>
      </c>
      <c r="T44" s="136" t="s">
        <v>234</v>
      </c>
      <c r="W44" s="153">
        <v>5</v>
      </c>
      <c r="X44" s="153">
        <v>5</v>
      </c>
      <c r="Y44" s="153">
        <v>5</v>
      </c>
      <c r="Z44" s="153">
        <v>5</v>
      </c>
      <c r="AA44" s="153">
        <v>5</v>
      </c>
      <c r="AB44" s="153">
        <v>5</v>
      </c>
      <c r="AC44" s="153">
        <v>5</v>
      </c>
      <c r="AD44" s="153">
        <v>5</v>
      </c>
      <c r="AE44" s="153">
        <v>5</v>
      </c>
      <c r="AF44" s="153">
        <v>5</v>
      </c>
      <c r="AG44" s="153">
        <v>5</v>
      </c>
      <c r="AH44" s="153">
        <v>5</v>
      </c>
      <c r="AI44" s="179"/>
      <c r="AJ44" s="170">
        <f t="shared" ref="AJ44:AN46" si="18">AJ25/AJ69</f>
        <v>4</v>
      </c>
      <c r="AK44" s="170">
        <f t="shared" si="18"/>
        <v>4.5</v>
      </c>
      <c r="AL44" s="170">
        <f t="shared" si="18"/>
        <v>5</v>
      </c>
      <c r="AM44" s="170">
        <f t="shared" si="18"/>
        <v>5.5</v>
      </c>
      <c r="AN44" s="170">
        <f t="shared" si="18"/>
        <v>5.5</v>
      </c>
      <c r="AO44" s="171">
        <v>6</v>
      </c>
      <c r="AP44" s="171">
        <v>6</v>
      </c>
      <c r="AQ44" s="171">
        <v>6</v>
      </c>
      <c r="AR44" s="171">
        <v>6</v>
      </c>
      <c r="AS44" s="171">
        <v>6</v>
      </c>
      <c r="AT44" s="171">
        <v>6</v>
      </c>
      <c r="AU44" s="171">
        <v>6</v>
      </c>
      <c r="AV44" s="172">
        <f t="shared" si="5"/>
        <v>0.5</v>
      </c>
    </row>
    <row r="45" spans="2:62" x14ac:dyDescent="0.25">
      <c r="B45" s="136" t="s">
        <v>233</v>
      </c>
      <c r="C45" s="136" t="s">
        <v>235</v>
      </c>
      <c r="F45" s="173">
        <v>0</v>
      </c>
      <c r="G45" s="173">
        <v>0</v>
      </c>
      <c r="H45" s="173">
        <v>0</v>
      </c>
      <c r="I45" s="173">
        <v>0</v>
      </c>
      <c r="J45" s="173">
        <v>0</v>
      </c>
      <c r="K45" s="173">
        <v>0</v>
      </c>
      <c r="L45" s="173">
        <v>0</v>
      </c>
      <c r="M45" s="173">
        <v>0</v>
      </c>
      <c r="N45" s="173">
        <v>0</v>
      </c>
      <c r="O45" s="173">
        <v>40</v>
      </c>
      <c r="P45" s="173">
        <v>40</v>
      </c>
      <c r="Q45" s="173">
        <v>40</v>
      </c>
      <c r="R45" s="179"/>
      <c r="S45" s="136" t="s">
        <v>233</v>
      </c>
      <c r="T45" s="136" t="s">
        <v>235</v>
      </c>
      <c r="W45" s="153">
        <v>40</v>
      </c>
      <c r="X45" s="153">
        <v>40</v>
      </c>
      <c r="Y45" s="153">
        <v>40</v>
      </c>
      <c r="Z45" s="153">
        <v>40</v>
      </c>
      <c r="AA45" s="153">
        <v>40</v>
      </c>
      <c r="AB45" s="153">
        <v>40</v>
      </c>
      <c r="AC45" s="153">
        <v>40</v>
      </c>
      <c r="AD45" s="153">
        <v>40</v>
      </c>
      <c r="AE45" s="153">
        <v>40</v>
      </c>
      <c r="AF45" s="153">
        <v>40</v>
      </c>
      <c r="AG45" s="153">
        <v>40</v>
      </c>
      <c r="AH45" s="153">
        <v>40</v>
      </c>
      <c r="AI45" s="179"/>
      <c r="AJ45" s="170">
        <f t="shared" si="18"/>
        <v>40</v>
      </c>
      <c r="AK45" s="170">
        <f t="shared" si="18"/>
        <v>31.5</v>
      </c>
      <c r="AL45" s="170">
        <f t="shared" si="18"/>
        <v>30</v>
      </c>
      <c r="AM45" s="170">
        <f t="shared" si="18"/>
        <v>36.666666666666664</v>
      </c>
      <c r="AN45" s="170">
        <f t="shared" si="18"/>
        <v>40</v>
      </c>
      <c r="AO45" s="171">
        <v>40</v>
      </c>
      <c r="AP45" s="171">
        <v>40</v>
      </c>
      <c r="AQ45" s="171">
        <f>AP45+5</f>
        <v>45</v>
      </c>
      <c r="AR45" s="171">
        <f>AQ45</f>
        <v>45</v>
      </c>
      <c r="AS45" s="171">
        <f>AR45</f>
        <v>45</v>
      </c>
      <c r="AT45" s="171">
        <f>AS45+5</f>
        <v>50</v>
      </c>
      <c r="AU45" s="171">
        <f>AT45</f>
        <v>50</v>
      </c>
      <c r="AV45" s="172">
        <f t="shared" si="5"/>
        <v>0.25</v>
      </c>
      <c r="BJ45" s="117" t="s">
        <v>236</v>
      </c>
    </row>
    <row r="46" spans="2:62" x14ac:dyDescent="0.25">
      <c r="B46" s="136" t="s">
        <v>233</v>
      </c>
      <c r="C46" s="136" t="s">
        <v>237</v>
      </c>
      <c r="F46" s="173">
        <v>6.666666666666667</v>
      </c>
      <c r="G46" s="173">
        <v>11.666666666666666</v>
      </c>
      <c r="H46" s="173">
        <v>13.333333333333334</v>
      </c>
      <c r="I46" s="173">
        <v>15</v>
      </c>
      <c r="J46" s="173">
        <v>17</v>
      </c>
      <c r="K46" s="173">
        <v>20</v>
      </c>
      <c r="L46" s="173">
        <v>20</v>
      </c>
      <c r="M46" s="173">
        <v>22</v>
      </c>
      <c r="N46" s="173">
        <v>27</v>
      </c>
      <c r="O46" s="173">
        <v>30</v>
      </c>
      <c r="P46" s="173">
        <v>30</v>
      </c>
      <c r="Q46" s="173">
        <v>30</v>
      </c>
      <c r="R46" s="179"/>
      <c r="S46" s="136" t="s">
        <v>233</v>
      </c>
      <c r="T46" s="136" t="s">
        <v>237</v>
      </c>
      <c r="W46" s="153">
        <v>30</v>
      </c>
      <c r="X46" s="153">
        <v>30</v>
      </c>
      <c r="Y46" s="153">
        <v>30</v>
      </c>
      <c r="Z46" s="153">
        <v>30</v>
      </c>
      <c r="AA46" s="153">
        <v>30</v>
      </c>
      <c r="AB46" s="153">
        <v>30</v>
      </c>
      <c r="AC46" s="153">
        <v>30</v>
      </c>
      <c r="AD46" s="153">
        <v>30</v>
      </c>
      <c r="AE46" s="153">
        <v>30</v>
      </c>
      <c r="AF46" s="153">
        <v>30</v>
      </c>
      <c r="AG46" s="153">
        <v>30</v>
      </c>
      <c r="AH46" s="153">
        <v>30</v>
      </c>
      <c r="AI46" s="179"/>
      <c r="AJ46" s="170">
        <f t="shared" si="18"/>
        <v>19.473684210526315</v>
      </c>
      <c r="AK46" s="170">
        <f t="shared" si="18"/>
        <v>24.55263157894737</v>
      </c>
      <c r="AL46" s="170">
        <f t="shared" si="18"/>
        <v>27.631578947368425</v>
      </c>
      <c r="AM46" s="170">
        <f t="shared" si="18"/>
        <v>34.21052631578948</v>
      </c>
      <c r="AN46" s="170">
        <f t="shared" si="18"/>
        <v>40</v>
      </c>
      <c r="AO46" s="171">
        <v>40</v>
      </c>
      <c r="AP46" s="171">
        <v>40</v>
      </c>
      <c r="AQ46" s="171">
        <f>AP46+5</f>
        <v>45</v>
      </c>
      <c r="AR46" s="171">
        <f>AQ46</f>
        <v>45</v>
      </c>
      <c r="AS46" s="171">
        <f>AR46</f>
        <v>45</v>
      </c>
      <c r="AT46" s="171">
        <f>AS46+5</f>
        <v>50</v>
      </c>
      <c r="AU46" s="171">
        <f>AT46</f>
        <v>50</v>
      </c>
      <c r="AV46" s="172">
        <f t="shared" si="5"/>
        <v>1.5675675675675675</v>
      </c>
      <c r="BJ46" s="117" t="s">
        <v>236</v>
      </c>
    </row>
    <row r="47" spans="2:62" x14ac:dyDescent="0.25">
      <c r="B47" s="136" t="s">
        <v>238</v>
      </c>
      <c r="C47" s="178" t="s">
        <v>220</v>
      </c>
      <c r="F47" s="183">
        <v>26.666666666666668</v>
      </c>
      <c r="G47" s="183">
        <v>26.666666666666668</v>
      </c>
      <c r="H47" s="183">
        <v>26.666666666666668</v>
      </c>
      <c r="I47" s="183">
        <v>26.666666666666668</v>
      </c>
      <c r="J47" s="183">
        <v>26.666666666666668</v>
      </c>
      <c r="K47" s="183">
        <v>26.666666666666668</v>
      </c>
      <c r="L47" s="183">
        <v>26.666666666666668</v>
      </c>
      <c r="M47" s="183">
        <v>26.666666666666668</v>
      </c>
      <c r="N47" s="183">
        <v>26.666666666666668</v>
      </c>
      <c r="O47" s="183">
        <v>26.666666666666668</v>
      </c>
      <c r="P47" s="183">
        <v>26.666666666666668</v>
      </c>
      <c r="Q47" s="183">
        <v>26.666666666666668</v>
      </c>
      <c r="R47" s="179"/>
      <c r="S47" s="136"/>
      <c r="T47" s="136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79"/>
      <c r="AJ47" s="170">
        <f>AJ14/AJ63</f>
        <v>26.666666666666668</v>
      </c>
      <c r="AK47" s="170">
        <f>AK14/AK63</f>
        <v>47</v>
      </c>
      <c r="AL47" s="170">
        <f>AL14/AL63</f>
        <v>129</v>
      </c>
      <c r="AM47" s="170">
        <f>AM14/AM63</f>
        <v>175.33333333333334</v>
      </c>
      <c r="AN47" s="170">
        <f>AN14/AN63</f>
        <v>219.66666666666666</v>
      </c>
      <c r="AO47" s="171">
        <v>250</v>
      </c>
      <c r="AP47" s="171">
        <f>AO47</f>
        <v>250</v>
      </c>
      <c r="AQ47" s="171">
        <v>275</v>
      </c>
      <c r="AR47" s="171">
        <v>275</v>
      </c>
      <c r="AS47" s="171">
        <v>300</v>
      </c>
      <c r="AT47" s="171">
        <f>AS47</f>
        <v>300</v>
      </c>
      <c r="AU47" s="171">
        <v>350</v>
      </c>
      <c r="AV47" s="172">
        <f t="shared" si="5"/>
        <v>12.125</v>
      </c>
    </row>
    <row r="48" spans="2:62" x14ac:dyDescent="0.25">
      <c r="B48" s="136" t="s">
        <v>239</v>
      </c>
      <c r="C48" s="136" t="s">
        <v>190</v>
      </c>
      <c r="F48" s="117">
        <v>60</v>
      </c>
      <c r="G48" s="117">
        <v>60</v>
      </c>
      <c r="H48" s="117">
        <v>60</v>
      </c>
      <c r="I48" s="117">
        <v>60</v>
      </c>
      <c r="J48" s="117">
        <v>60</v>
      </c>
      <c r="K48" s="117">
        <v>60</v>
      </c>
      <c r="L48" s="117">
        <v>60</v>
      </c>
      <c r="M48" s="117">
        <v>66</v>
      </c>
      <c r="N48" s="117">
        <v>66</v>
      </c>
      <c r="O48" s="117">
        <v>66</v>
      </c>
      <c r="P48" s="117">
        <v>66</v>
      </c>
      <c r="Q48" s="117">
        <v>66</v>
      </c>
      <c r="R48" s="179"/>
      <c r="S48" s="136" t="s">
        <v>239</v>
      </c>
      <c r="T48" s="136" t="s">
        <v>190</v>
      </c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79"/>
      <c r="AJ48" s="170">
        <f t="shared" ref="AJ48:AN49" si="19">AJ22/AJ72</f>
        <v>66</v>
      </c>
      <c r="AK48" s="170">
        <f t="shared" si="19"/>
        <v>66</v>
      </c>
      <c r="AL48" s="170">
        <f t="shared" si="19"/>
        <v>66</v>
      </c>
      <c r="AM48" s="170">
        <f t="shared" si="19"/>
        <v>66</v>
      </c>
      <c r="AN48" s="170">
        <f t="shared" si="19"/>
        <v>66</v>
      </c>
      <c r="AO48" s="171">
        <f t="shared" ref="AO48:AU49" si="20">AN48+10</f>
        <v>76</v>
      </c>
      <c r="AP48" s="171">
        <f t="shared" si="20"/>
        <v>86</v>
      </c>
      <c r="AQ48" s="171">
        <f t="shared" si="20"/>
        <v>96</v>
      </c>
      <c r="AR48" s="171">
        <f t="shared" si="20"/>
        <v>106</v>
      </c>
      <c r="AS48" s="171">
        <f t="shared" si="20"/>
        <v>116</v>
      </c>
      <c r="AT48" s="171">
        <f t="shared" si="20"/>
        <v>126</v>
      </c>
      <c r="AU48" s="171">
        <f t="shared" si="20"/>
        <v>136</v>
      </c>
      <c r="AV48" s="172">
        <f t="shared" si="5"/>
        <v>1.0606060606060606</v>
      </c>
    </row>
    <row r="49" spans="2:62" x14ac:dyDescent="0.25">
      <c r="B49" s="136" t="s">
        <v>239</v>
      </c>
      <c r="C49" s="136" t="s">
        <v>191</v>
      </c>
      <c r="F49" s="117">
        <v>70</v>
      </c>
      <c r="G49" s="117">
        <v>70</v>
      </c>
      <c r="H49" s="117">
        <v>70</v>
      </c>
      <c r="I49" s="117">
        <v>70</v>
      </c>
      <c r="J49" s="117">
        <v>70</v>
      </c>
      <c r="K49" s="117">
        <v>70</v>
      </c>
      <c r="L49" s="117">
        <v>70</v>
      </c>
      <c r="M49" s="117">
        <v>70</v>
      </c>
      <c r="N49" s="117">
        <v>70</v>
      </c>
      <c r="O49" s="117">
        <v>70</v>
      </c>
      <c r="P49" s="117">
        <v>70</v>
      </c>
      <c r="Q49" s="117">
        <v>70</v>
      </c>
      <c r="R49" s="179"/>
      <c r="S49" s="136" t="s">
        <v>239</v>
      </c>
      <c r="T49" s="136" t="s">
        <v>191</v>
      </c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153"/>
      <c r="AI49" s="179"/>
      <c r="AJ49" s="170">
        <f t="shared" si="19"/>
        <v>225</v>
      </c>
      <c r="AK49" s="170">
        <f t="shared" si="19"/>
        <v>225</v>
      </c>
      <c r="AL49" s="170">
        <f t="shared" si="19"/>
        <v>409.09090909090907</v>
      </c>
      <c r="AM49" s="170">
        <f t="shared" si="19"/>
        <v>450</v>
      </c>
      <c r="AN49" s="170">
        <f t="shared" si="19"/>
        <v>450</v>
      </c>
      <c r="AO49" s="171">
        <f t="shared" si="20"/>
        <v>460</v>
      </c>
      <c r="AP49" s="171">
        <f t="shared" si="20"/>
        <v>470</v>
      </c>
      <c r="AQ49" s="171">
        <f t="shared" si="20"/>
        <v>480</v>
      </c>
      <c r="AR49" s="171">
        <f t="shared" si="20"/>
        <v>490</v>
      </c>
      <c r="AS49" s="171">
        <f t="shared" si="20"/>
        <v>500</v>
      </c>
      <c r="AT49" s="171">
        <f t="shared" si="20"/>
        <v>510</v>
      </c>
      <c r="AU49" s="171">
        <f t="shared" si="20"/>
        <v>520</v>
      </c>
      <c r="AV49" s="172">
        <f t="shared" si="5"/>
        <v>1.3111111111111109</v>
      </c>
    </row>
    <row r="50" spans="2:62" ht="15.75" x14ac:dyDescent="0.25">
      <c r="B50" s="129" t="s">
        <v>240</v>
      </c>
      <c r="C50" s="129"/>
      <c r="D50" s="129"/>
      <c r="E50" s="184"/>
      <c r="F50" s="185">
        <f t="shared" ref="F50:Q50" si="21">SUM(F51:F67)</f>
        <v>170</v>
      </c>
      <c r="G50" s="185">
        <f t="shared" si="21"/>
        <v>158</v>
      </c>
      <c r="H50" s="185">
        <f t="shared" si="21"/>
        <v>153</v>
      </c>
      <c r="I50" s="185">
        <f t="shared" si="21"/>
        <v>171</v>
      </c>
      <c r="J50" s="185">
        <f t="shared" si="21"/>
        <v>176.4</v>
      </c>
      <c r="K50" s="185">
        <f t="shared" si="21"/>
        <v>174.8</v>
      </c>
      <c r="L50" s="185">
        <f t="shared" si="21"/>
        <v>176.3</v>
      </c>
      <c r="M50" s="185">
        <f t="shared" si="21"/>
        <v>173.4</v>
      </c>
      <c r="N50" s="185">
        <f t="shared" si="21"/>
        <v>165.3</v>
      </c>
      <c r="O50" s="185">
        <f t="shared" si="21"/>
        <v>156.1</v>
      </c>
      <c r="P50" s="185">
        <f t="shared" si="21"/>
        <v>147</v>
      </c>
      <c r="Q50" s="185">
        <f t="shared" si="21"/>
        <v>158.19999999999999</v>
      </c>
      <c r="R50" s="130"/>
      <c r="S50" s="129" t="s">
        <v>241</v>
      </c>
      <c r="T50" s="129"/>
      <c r="U50" s="129"/>
      <c r="V50" s="129"/>
      <c r="W50" s="185">
        <f t="shared" ref="W50:AH50" si="22">SUM(W53:W64)</f>
        <v>157</v>
      </c>
      <c r="X50" s="185">
        <f t="shared" si="22"/>
        <v>140</v>
      </c>
      <c r="Y50" s="185">
        <f t="shared" si="22"/>
        <v>158</v>
      </c>
      <c r="Z50" s="185">
        <f t="shared" si="22"/>
        <v>162</v>
      </c>
      <c r="AA50" s="185">
        <f t="shared" si="22"/>
        <v>169</v>
      </c>
      <c r="AB50" s="185">
        <f t="shared" si="22"/>
        <v>179</v>
      </c>
      <c r="AC50" s="185">
        <f t="shared" si="22"/>
        <v>148</v>
      </c>
      <c r="AD50" s="185">
        <f t="shared" si="22"/>
        <v>127</v>
      </c>
      <c r="AE50" s="185">
        <f t="shared" si="22"/>
        <v>117</v>
      </c>
      <c r="AF50" s="185">
        <f t="shared" si="22"/>
        <v>131</v>
      </c>
      <c r="AG50" s="185">
        <f t="shared" si="22"/>
        <v>140</v>
      </c>
      <c r="AH50" s="185">
        <f t="shared" si="22"/>
        <v>151</v>
      </c>
      <c r="AI50" s="130"/>
      <c r="AJ50" s="185">
        <f t="shared" ref="AJ50:AU50" si="23">SUM(AJ51:AJ66)</f>
        <v>148.22000000000003</v>
      </c>
      <c r="AK50" s="185">
        <f t="shared" si="23"/>
        <v>144.42000000000002</v>
      </c>
      <c r="AL50" s="185">
        <f t="shared" si="23"/>
        <v>142.41999999999999</v>
      </c>
      <c r="AM50" s="185">
        <f t="shared" si="23"/>
        <v>140.02000000000001</v>
      </c>
      <c r="AN50" s="185">
        <f t="shared" si="23"/>
        <v>135.58000000000001</v>
      </c>
      <c r="AO50" s="185">
        <f t="shared" si="23"/>
        <v>135.02000000000001</v>
      </c>
      <c r="AP50" s="185">
        <f t="shared" si="23"/>
        <v>136.02000000000001</v>
      </c>
      <c r="AQ50" s="185">
        <f t="shared" si="23"/>
        <v>137.02000000000001</v>
      </c>
      <c r="AR50" s="185">
        <f t="shared" si="23"/>
        <v>123.02</v>
      </c>
      <c r="AS50" s="185">
        <f t="shared" si="23"/>
        <v>110.02</v>
      </c>
      <c r="AT50" s="185">
        <f t="shared" si="23"/>
        <v>100.02</v>
      </c>
      <c r="AU50" s="185">
        <f t="shared" si="23"/>
        <v>105.02</v>
      </c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</row>
    <row r="51" spans="2:62" x14ac:dyDescent="0.25">
      <c r="B51" s="136" t="s">
        <v>242</v>
      </c>
      <c r="C51" s="117" t="s">
        <v>243</v>
      </c>
      <c r="D51" s="136" t="s">
        <v>244</v>
      </c>
      <c r="E51" s="136" t="s">
        <v>245</v>
      </c>
      <c r="F51" s="173">
        <f t="shared" ref="F51:Q51" si="24">IFERROR(ROUNDUP((F8*F29)/F31,0),0)</f>
        <v>0</v>
      </c>
      <c r="G51" s="173">
        <f t="shared" si="24"/>
        <v>0</v>
      </c>
      <c r="H51" s="173">
        <f t="shared" si="24"/>
        <v>0</v>
      </c>
      <c r="I51" s="173">
        <f t="shared" si="24"/>
        <v>0</v>
      </c>
      <c r="J51" s="173">
        <f t="shared" si="24"/>
        <v>0</v>
      </c>
      <c r="K51" s="173">
        <f t="shared" si="24"/>
        <v>0</v>
      </c>
      <c r="L51" s="173">
        <f t="shared" si="24"/>
        <v>0</v>
      </c>
      <c r="M51" s="173">
        <f t="shared" si="24"/>
        <v>0</v>
      </c>
      <c r="N51" s="173">
        <f t="shared" si="24"/>
        <v>0</v>
      </c>
      <c r="O51" s="173">
        <f t="shared" si="24"/>
        <v>0</v>
      </c>
      <c r="P51" s="173">
        <f t="shared" si="24"/>
        <v>0</v>
      </c>
      <c r="Q51" s="173">
        <f t="shared" si="24"/>
        <v>0</v>
      </c>
      <c r="R51" s="179"/>
      <c r="AI51" s="179"/>
      <c r="AJ51" s="186">
        <v>6</v>
      </c>
      <c r="AK51" s="186">
        <v>6</v>
      </c>
      <c r="AL51" s="186">
        <v>6</v>
      </c>
      <c r="AM51" s="186">
        <v>6.6</v>
      </c>
      <c r="AN51" s="186">
        <v>8.1</v>
      </c>
      <c r="AO51" s="187">
        <f t="shared" ref="AO51:AU51" si="25">SUM(ROUNDUP(AO8/AO31,0))</f>
        <v>9</v>
      </c>
      <c r="AP51" s="187">
        <f t="shared" si="25"/>
        <v>9</v>
      </c>
      <c r="AQ51" s="187">
        <f t="shared" si="25"/>
        <v>10</v>
      </c>
      <c r="AR51" s="187">
        <f t="shared" si="25"/>
        <v>10</v>
      </c>
      <c r="AS51" s="187">
        <f t="shared" si="25"/>
        <v>11</v>
      </c>
      <c r="AT51" s="187">
        <f t="shared" si="25"/>
        <v>12</v>
      </c>
      <c r="AU51" s="187">
        <f t="shared" si="25"/>
        <v>12</v>
      </c>
      <c r="AV51" s="188">
        <f>SUM(AU51:AU53)-AH53</f>
        <v>-7</v>
      </c>
      <c r="BJ51" s="117" t="s">
        <v>246</v>
      </c>
    </row>
    <row r="52" spans="2:62" x14ac:dyDescent="0.25">
      <c r="B52" s="143" t="s">
        <v>247</v>
      </c>
      <c r="C52" s="145" t="s">
        <v>243</v>
      </c>
      <c r="D52" s="143" t="s">
        <v>244</v>
      </c>
      <c r="E52" s="143" t="s">
        <v>245</v>
      </c>
      <c r="F52" s="174">
        <f t="shared" ref="F52:Q53" si="26">IFERROR(ROUNDUP((F9*F28)/F32,0),0)</f>
        <v>0</v>
      </c>
      <c r="G52" s="174">
        <f t="shared" si="26"/>
        <v>0</v>
      </c>
      <c r="H52" s="174">
        <f t="shared" si="26"/>
        <v>0</v>
      </c>
      <c r="I52" s="174">
        <f t="shared" si="26"/>
        <v>0</v>
      </c>
      <c r="J52" s="174">
        <f t="shared" si="26"/>
        <v>0</v>
      </c>
      <c r="K52" s="174">
        <f t="shared" si="26"/>
        <v>0</v>
      </c>
      <c r="L52" s="174">
        <f t="shared" si="26"/>
        <v>0</v>
      </c>
      <c r="M52" s="174">
        <f t="shared" si="26"/>
        <v>0</v>
      </c>
      <c r="N52" s="174">
        <f t="shared" si="26"/>
        <v>0</v>
      </c>
      <c r="O52" s="174">
        <f t="shared" si="26"/>
        <v>0</v>
      </c>
      <c r="P52" s="174">
        <f t="shared" si="26"/>
        <v>0</v>
      </c>
      <c r="Q52" s="174">
        <f t="shared" si="26"/>
        <v>0</v>
      </c>
      <c r="R52" s="179"/>
      <c r="S52" s="136"/>
      <c r="T52" s="136"/>
      <c r="U52" s="136"/>
      <c r="V52" s="136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90"/>
      <c r="AI52" s="179"/>
      <c r="AJ52" s="186">
        <v>0</v>
      </c>
      <c r="AK52" s="186">
        <v>0</v>
      </c>
      <c r="AL52" s="186">
        <v>0</v>
      </c>
      <c r="AM52" s="186">
        <v>0</v>
      </c>
      <c r="AN52" s="191">
        <v>0</v>
      </c>
      <c r="AO52" s="192">
        <v>0</v>
      </c>
      <c r="AP52" s="193"/>
      <c r="AQ52" s="193"/>
      <c r="AR52" s="193"/>
      <c r="AS52" s="193"/>
      <c r="AT52" s="193"/>
      <c r="AU52" s="193"/>
      <c r="AV52" s="188"/>
    </row>
    <row r="53" spans="2:62" x14ac:dyDescent="0.25">
      <c r="B53" s="143" t="s">
        <v>248</v>
      </c>
      <c r="C53" s="145" t="s">
        <v>243</v>
      </c>
      <c r="D53" s="143" t="s">
        <v>244</v>
      </c>
      <c r="E53" s="143" t="s">
        <v>245</v>
      </c>
      <c r="F53" s="174">
        <f t="shared" si="26"/>
        <v>9</v>
      </c>
      <c r="G53" s="174">
        <f t="shared" si="26"/>
        <v>9</v>
      </c>
      <c r="H53" s="174">
        <f t="shared" si="26"/>
        <v>9</v>
      </c>
      <c r="I53" s="174">
        <f t="shared" si="26"/>
        <v>9</v>
      </c>
      <c r="J53" s="174">
        <f t="shared" si="26"/>
        <v>11</v>
      </c>
      <c r="K53" s="174">
        <f t="shared" si="26"/>
        <v>14</v>
      </c>
      <c r="L53" s="174">
        <f t="shared" si="26"/>
        <v>15</v>
      </c>
      <c r="M53" s="174">
        <f t="shared" si="26"/>
        <v>16</v>
      </c>
      <c r="N53" s="174">
        <f t="shared" si="26"/>
        <v>17</v>
      </c>
      <c r="O53" s="174">
        <f t="shared" si="26"/>
        <v>19</v>
      </c>
      <c r="P53" s="174">
        <f t="shared" si="26"/>
        <v>19</v>
      </c>
      <c r="Q53" s="174">
        <f t="shared" si="26"/>
        <v>20</v>
      </c>
      <c r="R53" s="179"/>
      <c r="S53" s="136" t="s">
        <v>249</v>
      </c>
      <c r="T53" s="136" t="s">
        <v>200</v>
      </c>
      <c r="U53" s="136" t="s">
        <v>244</v>
      </c>
      <c r="V53" s="136" t="s">
        <v>245</v>
      </c>
      <c r="W53" s="189">
        <f t="shared" ref="W53:AH53" si="27">ROUNDUP((W10*W29)/W31,0)</f>
        <v>20</v>
      </c>
      <c r="X53" s="189">
        <f t="shared" si="27"/>
        <v>17</v>
      </c>
      <c r="Y53" s="189">
        <f t="shared" si="27"/>
        <v>20</v>
      </c>
      <c r="Z53" s="189">
        <f t="shared" si="27"/>
        <v>23</v>
      </c>
      <c r="AA53" s="189">
        <f t="shared" si="27"/>
        <v>24</v>
      </c>
      <c r="AB53" s="189">
        <f t="shared" si="27"/>
        <v>28</v>
      </c>
      <c r="AC53" s="189">
        <f t="shared" si="27"/>
        <v>23</v>
      </c>
      <c r="AD53" s="189">
        <f t="shared" si="27"/>
        <v>22</v>
      </c>
      <c r="AE53" s="189">
        <f t="shared" si="27"/>
        <v>20</v>
      </c>
      <c r="AF53" s="189">
        <f t="shared" si="27"/>
        <v>22</v>
      </c>
      <c r="AG53" s="189">
        <f t="shared" si="27"/>
        <v>23</v>
      </c>
      <c r="AH53" s="190">
        <f t="shared" si="27"/>
        <v>23</v>
      </c>
      <c r="AI53" s="179"/>
      <c r="AJ53" s="186">
        <v>22</v>
      </c>
      <c r="AK53" s="186">
        <v>21.5</v>
      </c>
      <c r="AL53" s="186">
        <v>24.7</v>
      </c>
      <c r="AM53" s="186">
        <v>24.4</v>
      </c>
      <c r="AN53" s="191">
        <v>24.8</v>
      </c>
      <c r="AO53" s="192">
        <f>SUM(ROUNDUP(AO10*AO29/AO33,0))</f>
        <v>21</v>
      </c>
      <c r="AP53" s="192">
        <f>SUM(ROUNDUP(AP10*AP29/AP33,0))</f>
        <v>18</v>
      </c>
      <c r="AQ53" s="192">
        <f>SUM(ROUNDDOWN(AQ10*AQ29/AQ33,0))</f>
        <v>18</v>
      </c>
      <c r="AR53" s="192">
        <f>SUM(ROUNDUP(AR10*AR29/AR33,0))</f>
        <v>16</v>
      </c>
      <c r="AS53" s="192">
        <f>SUM(ROUNDUP(AS10*AS29/AS33,0))</f>
        <v>9</v>
      </c>
      <c r="AT53" s="192">
        <f>SUM(ROUNDUP(AT10*AT29/AT33,0))</f>
        <v>4</v>
      </c>
      <c r="AU53" s="192">
        <f>SUM(ROUNDUP(AU10*AU29/AU33,0))</f>
        <v>4</v>
      </c>
      <c r="AV53" s="188"/>
    </row>
    <row r="54" spans="2:62" x14ac:dyDescent="0.25">
      <c r="B54" s="143" t="s">
        <v>210</v>
      </c>
      <c r="C54" s="145" t="s">
        <v>250</v>
      </c>
      <c r="D54" s="143" t="s">
        <v>244</v>
      </c>
      <c r="E54" s="143" t="s">
        <v>245</v>
      </c>
      <c r="F54" s="174">
        <v>0</v>
      </c>
      <c r="G54" s="174">
        <v>0</v>
      </c>
      <c r="H54" s="174">
        <v>0</v>
      </c>
      <c r="I54" s="174">
        <v>0</v>
      </c>
      <c r="J54" s="174">
        <v>0</v>
      </c>
      <c r="K54" s="174">
        <v>0</v>
      </c>
      <c r="L54" s="174">
        <v>0</v>
      </c>
      <c r="M54" s="174">
        <v>8</v>
      </c>
      <c r="N54" s="174">
        <v>8</v>
      </c>
      <c r="O54" s="174">
        <v>8</v>
      </c>
      <c r="P54" s="174">
        <v>8</v>
      </c>
      <c r="Q54" s="174">
        <v>8</v>
      </c>
      <c r="R54" s="179"/>
      <c r="S54" s="136" t="s">
        <v>249</v>
      </c>
      <c r="T54" s="136" t="s">
        <v>210</v>
      </c>
      <c r="U54" s="136" t="s">
        <v>244</v>
      </c>
      <c r="V54" s="136" t="s">
        <v>245</v>
      </c>
      <c r="W54" s="189">
        <f t="shared" ref="W54:AH54" si="28">ROUNDUP((W15)/W34,)</f>
        <v>15</v>
      </c>
      <c r="X54" s="189">
        <f t="shared" si="28"/>
        <v>20</v>
      </c>
      <c r="Y54" s="189">
        <f t="shared" si="28"/>
        <v>23</v>
      </c>
      <c r="Z54" s="189">
        <f t="shared" si="28"/>
        <v>26</v>
      </c>
      <c r="AA54" s="189">
        <f t="shared" si="28"/>
        <v>29</v>
      </c>
      <c r="AB54" s="189">
        <f t="shared" si="28"/>
        <v>31</v>
      </c>
      <c r="AC54" s="189">
        <f t="shared" si="28"/>
        <v>33</v>
      </c>
      <c r="AD54" s="189">
        <f t="shared" si="28"/>
        <v>35</v>
      </c>
      <c r="AE54" s="189">
        <f t="shared" si="28"/>
        <v>37</v>
      </c>
      <c r="AF54" s="189">
        <f t="shared" si="28"/>
        <v>38</v>
      </c>
      <c r="AG54" s="189">
        <f t="shared" si="28"/>
        <v>39</v>
      </c>
      <c r="AH54" s="190">
        <f t="shared" si="28"/>
        <v>41</v>
      </c>
      <c r="AI54" s="179"/>
      <c r="AJ54" s="186">
        <v>18</v>
      </c>
      <c r="AK54" s="186">
        <v>18</v>
      </c>
      <c r="AL54" s="186">
        <v>16.5</v>
      </c>
      <c r="AM54" s="186">
        <v>15.3</v>
      </c>
      <c r="AN54" s="186">
        <v>16</v>
      </c>
      <c r="AO54" s="187">
        <f t="shared" ref="AO54:AT54" si="29">ROUNDUP((AO14)/AO34,)</f>
        <v>18</v>
      </c>
      <c r="AP54" s="187">
        <f t="shared" si="29"/>
        <v>27</v>
      </c>
      <c r="AQ54" s="187">
        <f t="shared" si="29"/>
        <v>35</v>
      </c>
      <c r="AR54" s="187">
        <f t="shared" si="29"/>
        <v>38</v>
      </c>
      <c r="AS54" s="187">
        <f t="shared" si="29"/>
        <v>38</v>
      </c>
      <c r="AT54" s="187">
        <f t="shared" si="29"/>
        <v>38</v>
      </c>
      <c r="AU54" s="187">
        <f>ROUNDUP((AU14)/AU34,)</f>
        <v>43</v>
      </c>
      <c r="AV54" s="188">
        <f>SUM(AU54:AU56)-SUM(AH54:AH56)</f>
        <v>-20</v>
      </c>
      <c r="BJ54" s="117" t="s">
        <v>251</v>
      </c>
    </row>
    <row r="55" spans="2:62" outlineLevel="1" x14ac:dyDescent="0.25">
      <c r="B55" s="143" t="s">
        <v>212</v>
      </c>
      <c r="C55" s="145" t="s">
        <v>250</v>
      </c>
      <c r="D55" s="143" t="s">
        <v>244</v>
      </c>
      <c r="E55" s="143" t="s">
        <v>245</v>
      </c>
      <c r="F55" s="174">
        <v>0</v>
      </c>
      <c r="G55" s="174">
        <v>0</v>
      </c>
      <c r="H55" s="174">
        <v>0</v>
      </c>
      <c r="I55" s="174">
        <v>0</v>
      </c>
      <c r="J55" s="174">
        <v>0</v>
      </c>
      <c r="K55" s="174">
        <v>0</v>
      </c>
      <c r="L55" s="174">
        <v>0</v>
      </c>
      <c r="M55" s="174">
        <v>0</v>
      </c>
      <c r="N55" s="174">
        <v>0</v>
      </c>
      <c r="O55" s="174">
        <f>IFERROR(ROUNDUP((O12)/O35,),)</f>
        <v>0</v>
      </c>
      <c r="P55" s="174">
        <f>IFERROR(ROUNDUP((P12)/P35,),)</f>
        <v>0</v>
      </c>
      <c r="Q55" s="174">
        <f>IFERROR(ROUNDUP((Q12)/Q35,),)</f>
        <v>0</v>
      </c>
      <c r="R55" s="179"/>
      <c r="S55" s="136" t="s">
        <v>249</v>
      </c>
      <c r="T55" s="136" t="s">
        <v>212</v>
      </c>
      <c r="U55" s="136" t="s">
        <v>244</v>
      </c>
      <c r="V55" s="136" t="s">
        <v>245</v>
      </c>
      <c r="W55" s="189">
        <f t="shared" ref="W55:AH55" si="30">IFERROR(ROUNDUP((W16)/W35,),)</f>
        <v>0</v>
      </c>
      <c r="X55" s="189">
        <f t="shared" si="30"/>
        <v>0</v>
      </c>
      <c r="Y55" s="189">
        <f t="shared" si="30"/>
        <v>0</v>
      </c>
      <c r="Z55" s="189">
        <f t="shared" si="30"/>
        <v>0</v>
      </c>
      <c r="AA55" s="189">
        <f t="shared" si="30"/>
        <v>0</v>
      </c>
      <c r="AB55" s="189">
        <f t="shared" si="30"/>
        <v>0</v>
      </c>
      <c r="AC55" s="189">
        <f t="shared" si="30"/>
        <v>0</v>
      </c>
      <c r="AD55" s="189">
        <f t="shared" si="30"/>
        <v>0</v>
      </c>
      <c r="AE55" s="189">
        <f t="shared" si="30"/>
        <v>0</v>
      </c>
      <c r="AF55" s="189">
        <f t="shared" si="30"/>
        <v>10</v>
      </c>
      <c r="AG55" s="189">
        <f t="shared" si="30"/>
        <v>14</v>
      </c>
      <c r="AH55" s="190">
        <f t="shared" si="30"/>
        <v>21</v>
      </c>
      <c r="AI55" s="179"/>
      <c r="AJ55" s="191">
        <v>0</v>
      </c>
      <c r="AK55" s="191">
        <v>0</v>
      </c>
      <c r="AL55" s="191">
        <v>0</v>
      </c>
      <c r="AM55" s="191">
        <v>0</v>
      </c>
      <c r="AN55" s="191">
        <v>0</v>
      </c>
      <c r="AO55" s="192">
        <f t="shared" ref="AO55" si="31">IFERROR(ROUNDUP((AO16)/AO35,),)</f>
        <v>0</v>
      </c>
      <c r="AP55" s="193"/>
      <c r="AQ55" s="193"/>
      <c r="AR55" s="193"/>
      <c r="AS55" s="193"/>
      <c r="AT55" s="193"/>
      <c r="AU55" s="193"/>
      <c r="AV55" s="188"/>
    </row>
    <row r="56" spans="2:62" x14ac:dyDescent="0.25">
      <c r="B56" s="143" t="s">
        <v>252</v>
      </c>
      <c r="C56" s="145" t="s">
        <v>250</v>
      </c>
      <c r="D56" s="143" t="s">
        <v>244</v>
      </c>
      <c r="E56" s="143" t="s">
        <v>245</v>
      </c>
      <c r="F56" s="174">
        <f t="shared" ref="F56:K56" si="32">ROUNDUP(F17/F36,)</f>
        <v>68</v>
      </c>
      <c r="G56" s="174">
        <f t="shared" si="32"/>
        <v>63</v>
      </c>
      <c r="H56" s="174">
        <f t="shared" si="32"/>
        <v>61</v>
      </c>
      <c r="I56" s="174">
        <f t="shared" si="32"/>
        <v>80</v>
      </c>
      <c r="J56" s="174">
        <f t="shared" si="32"/>
        <v>81</v>
      </c>
      <c r="K56" s="174">
        <f t="shared" si="32"/>
        <v>79</v>
      </c>
      <c r="L56" s="174">
        <v>79.5</v>
      </c>
      <c r="M56" s="174">
        <v>68</v>
      </c>
      <c r="N56" s="174">
        <v>59</v>
      </c>
      <c r="O56" s="174">
        <v>58.1</v>
      </c>
      <c r="P56" s="174">
        <v>55</v>
      </c>
      <c r="Q56" s="174">
        <v>63.2</v>
      </c>
      <c r="R56" s="179"/>
      <c r="S56" s="136" t="s">
        <v>249</v>
      </c>
      <c r="T56" s="136" t="s">
        <v>215</v>
      </c>
      <c r="U56" s="136" t="s">
        <v>244</v>
      </c>
      <c r="V56" s="136" t="s">
        <v>245</v>
      </c>
      <c r="W56" s="189">
        <f t="shared" ref="W56:AH56" si="33">ROUNDUP(W17/W36,)</f>
        <v>60</v>
      </c>
      <c r="X56" s="189">
        <f t="shared" si="33"/>
        <v>48</v>
      </c>
      <c r="Y56" s="189">
        <f t="shared" si="33"/>
        <v>55</v>
      </c>
      <c r="Z56" s="189">
        <f t="shared" si="33"/>
        <v>51</v>
      </c>
      <c r="AA56" s="189">
        <f t="shared" si="33"/>
        <v>53</v>
      </c>
      <c r="AB56" s="189">
        <f t="shared" si="33"/>
        <v>53</v>
      </c>
      <c r="AC56" s="189">
        <f t="shared" si="33"/>
        <v>33</v>
      </c>
      <c r="AD56" s="189">
        <f t="shared" si="33"/>
        <v>18</v>
      </c>
      <c r="AE56" s="189">
        <f t="shared" si="33"/>
        <v>10</v>
      </c>
      <c r="AF56" s="189">
        <f t="shared" si="33"/>
        <v>10</v>
      </c>
      <c r="AG56" s="189">
        <f t="shared" si="33"/>
        <v>10</v>
      </c>
      <c r="AH56" s="190">
        <f t="shared" si="33"/>
        <v>10</v>
      </c>
      <c r="AI56" s="179"/>
      <c r="AJ56" s="186">
        <v>51.20000000000001</v>
      </c>
      <c r="AK56" s="186">
        <v>48</v>
      </c>
      <c r="AL56" s="186">
        <v>45.7</v>
      </c>
      <c r="AM56" s="186">
        <v>45</v>
      </c>
      <c r="AN56" s="191">
        <v>44.099999999999994</v>
      </c>
      <c r="AO56" s="192">
        <f>IFERROR(ROUNDDOWN(AO17/AO36,),0)</f>
        <v>44</v>
      </c>
      <c r="AP56" s="192">
        <f>IFERROR(ROUNDUP(AP17/AP36,),0)</f>
        <v>41</v>
      </c>
      <c r="AQ56" s="192">
        <f>IFERROR(ROUNDDOWN(AQ17/AQ36,),0)</f>
        <v>33</v>
      </c>
      <c r="AR56" s="192">
        <f>IFERROR(ROUNDUP(AR17/AR36,),0)</f>
        <v>21</v>
      </c>
      <c r="AS56" s="192">
        <f>IFERROR(ROUNDUP(AS17/AS36,),0)</f>
        <v>14</v>
      </c>
      <c r="AT56" s="192">
        <f>IFERROR(ROUNDUP(AT17/AT36,),0)</f>
        <v>9</v>
      </c>
      <c r="AU56" s="192">
        <f>IFERROR(ROUNDUP(AU17/AU36,),0)</f>
        <v>9</v>
      </c>
      <c r="AV56" s="188"/>
    </row>
    <row r="57" spans="2:62" x14ac:dyDescent="0.25">
      <c r="B57" s="136" t="s">
        <v>222</v>
      </c>
      <c r="C57" s="117" t="s">
        <v>250</v>
      </c>
      <c r="D57" s="136" t="s">
        <v>244</v>
      </c>
      <c r="E57" s="136" t="s">
        <v>245</v>
      </c>
      <c r="F57" s="174">
        <v>6</v>
      </c>
      <c r="G57" s="174">
        <v>6</v>
      </c>
      <c r="H57" s="174">
        <v>6</v>
      </c>
      <c r="I57" s="174">
        <v>6</v>
      </c>
      <c r="J57" s="174">
        <v>6</v>
      </c>
      <c r="K57" s="174">
        <v>6</v>
      </c>
      <c r="L57" s="174">
        <v>6</v>
      </c>
      <c r="M57" s="174">
        <v>6</v>
      </c>
      <c r="N57" s="174">
        <v>7</v>
      </c>
      <c r="O57" s="174">
        <f>ROUNDUP(SUM(O54:O56)/O39,)</f>
        <v>6</v>
      </c>
      <c r="P57" s="174">
        <v>6</v>
      </c>
      <c r="Q57" s="174">
        <v>6</v>
      </c>
      <c r="R57" s="179"/>
      <c r="S57" s="136" t="s">
        <v>249</v>
      </c>
      <c r="T57" s="136" t="s">
        <v>222</v>
      </c>
      <c r="U57" s="136" t="s">
        <v>244</v>
      </c>
      <c r="V57" s="136" t="s">
        <v>245</v>
      </c>
      <c r="W57" s="189">
        <f t="shared" ref="W57:AH57" si="34">ROUNDUP(SUM(W54:W56)/W39,)</f>
        <v>6</v>
      </c>
      <c r="X57" s="189">
        <f t="shared" si="34"/>
        <v>6</v>
      </c>
      <c r="Y57" s="189">
        <f t="shared" si="34"/>
        <v>6</v>
      </c>
      <c r="Z57" s="189">
        <f t="shared" si="34"/>
        <v>6</v>
      </c>
      <c r="AA57" s="189">
        <f t="shared" si="34"/>
        <v>6</v>
      </c>
      <c r="AB57" s="189">
        <f t="shared" si="34"/>
        <v>6</v>
      </c>
      <c r="AC57" s="189">
        <f t="shared" si="34"/>
        <v>5</v>
      </c>
      <c r="AD57" s="189">
        <f t="shared" si="34"/>
        <v>4</v>
      </c>
      <c r="AE57" s="189">
        <f t="shared" si="34"/>
        <v>4</v>
      </c>
      <c r="AF57" s="189">
        <f t="shared" si="34"/>
        <v>4</v>
      </c>
      <c r="AG57" s="189">
        <f t="shared" si="34"/>
        <v>5</v>
      </c>
      <c r="AH57" s="190">
        <f t="shared" si="34"/>
        <v>5</v>
      </c>
      <c r="AI57" s="179"/>
      <c r="AJ57" s="194">
        <v>5</v>
      </c>
      <c r="AK57" s="194">
        <v>5</v>
      </c>
      <c r="AL57" s="194">
        <v>5.5</v>
      </c>
      <c r="AM57" s="194">
        <v>6</v>
      </c>
      <c r="AN57" s="191">
        <v>6</v>
      </c>
      <c r="AO57" s="192">
        <f t="shared" ref="AO57:AT57" si="35">ROUNDUP(AO56/AO$39,)+ROUNDUP(AO54/AO39,)+ROUNDUP(AO55/AO39,)</f>
        <v>6</v>
      </c>
      <c r="AP57" s="192">
        <f>ROUNDDOWN(AP56/AP$39,)+ROUNDDOWN(AP54/AP39,)+ROUNDUP(AP55/AP39,)</f>
        <v>5</v>
      </c>
      <c r="AQ57" s="192">
        <f>ROUNDDOWN(AQ56/AQ$39,)+ROUNDUP(AQ54/AQ39,)+ROUNDUP(AQ55/AQ39,)</f>
        <v>5</v>
      </c>
      <c r="AR57" s="192">
        <f>ROUNDUP(AR56/AR$39,)+ROUNDUP(AR54/AR39,)+ROUNDUP(AR55/AR39,)</f>
        <v>5</v>
      </c>
      <c r="AS57" s="192">
        <f t="shared" si="35"/>
        <v>4</v>
      </c>
      <c r="AT57" s="192">
        <f t="shared" si="35"/>
        <v>4</v>
      </c>
      <c r="AU57" s="192">
        <f>ROUNDUP(AU56/AU$39,)+ROUNDUP(AU54/AU39,)+ROUNDUP(AU55/AU39,)</f>
        <v>4</v>
      </c>
      <c r="AV57" s="188">
        <f>AU57-AH57</f>
        <v>-1</v>
      </c>
      <c r="BJ57" s="117" t="s">
        <v>253</v>
      </c>
    </row>
    <row r="58" spans="2:62" hidden="1" outlineLevel="1" x14ac:dyDescent="0.25">
      <c r="B58" s="143" t="s">
        <v>217</v>
      </c>
      <c r="C58" s="117" t="s">
        <v>254</v>
      </c>
      <c r="D58" s="136" t="s">
        <v>244</v>
      </c>
      <c r="E58" s="136" t="s">
        <v>245</v>
      </c>
      <c r="F58" s="173">
        <f t="shared" ref="F58:Q58" si="36">ROUNDUP(F20/F37,)</f>
        <v>14</v>
      </c>
      <c r="G58" s="173">
        <f t="shared" si="36"/>
        <v>14</v>
      </c>
      <c r="H58" s="173">
        <f t="shared" si="36"/>
        <v>14</v>
      </c>
      <c r="I58" s="173">
        <f t="shared" si="36"/>
        <v>14</v>
      </c>
      <c r="J58" s="173">
        <f t="shared" si="36"/>
        <v>14</v>
      </c>
      <c r="K58" s="173">
        <f t="shared" si="36"/>
        <v>13</v>
      </c>
      <c r="L58" s="173">
        <f t="shared" si="36"/>
        <v>14</v>
      </c>
      <c r="M58" s="173">
        <f t="shared" si="36"/>
        <v>11</v>
      </c>
      <c r="N58" s="173">
        <f t="shared" si="36"/>
        <v>11</v>
      </c>
      <c r="O58" s="173">
        <f t="shared" si="36"/>
        <v>8</v>
      </c>
      <c r="P58" s="173">
        <f t="shared" si="36"/>
        <v>8</v>
      </c>
      <c r="Q58" s="173">
        <f t="shared" si="36"/>
        <v>9</v>
      </c>
      <c r="R58" s="179"/>
      <c r="S58" s="136" t="s">
        <v>249</v>
      </c>
      <c r="T58" s="136" t="s">
        <v>217</v>
      </c>
      <c r="U58" s="136" t="s">
        <v>244</v>
      </c>
      <c r="V58" s="136" t="s">
        <v>245</v>
      </c>
      <c r="W58" s="189">
        <f t="shared" ref="W58:AH58" si="37">ROUNDUP(W20/W37,)</f>
        <v>8</v>
      </c>
      <c r="X58" s="189">
        <f t="shared" si="37"/>
        <v>6</v>
      </c>
      <c r="Y58" s="189">
        <f t="shared" si="37"/>
        <v>7</v>
      </c>
      <c r="Z58" s="189">
        <f t="shared" si="37"/>
        <v>7</v>
      </c>
      <c r="AA58" s="189">
        <f t="shared" si="37"/>
        <v>7</v>
      </c>
      <c r="AB58" s="189">
        <f t="shared" si="37"/>
        <v>7</v>
      </c>
      <c r="AC58" s="189">
        <f t="shared" si="37"/>
        <v>5</v>
      </c>
      <c r="AD58" s="189">
        <f t="shared" si="37"/>
        <v>3</v>
      </c>
      <c r="AE58" s="189">
        <f t="shared" si="37"/>
        <v>2</v>
      </c>
      <c r="AF58" s="189">
        <f t="shared" si="37"/>
        <v>2</v>
      </c>
      <c r="AG58" s="189">
        <f t="shared" si="37"/>
        <v>2</v>
      </c>
      <c r="AH58" s="190">
        <f t="shared" si="37"/>
        <v>2</v>
      </c>
      <c r="AI58" s="179"/>
      <c r="AJ58" s="191">
        <v>0</v>
      </c>
      <c r="AK58" s="191">
        <v>0</v>
      </c>
      <c r="AL58" s="191">
        <v>0</v>
      </c>
      <c r="AM58" s="191">
        <v>0</v>
      </c>
      <c r="AN58" s="191">
        <v>0</v>
      </c>
      <c r="AO58" s="192">
        <v>0</v>
      </c>
      <c r="AP58" s="192">
        <v>0</v>
      </c>
      <c r="AQ58" s="192">
        <v>0</v>
      </c>
      <c r="AR58" s="192">
        <v>0</v>
      </c>
      <c r="AS58" s="192">
        <v>0</v>
      </c>
      <c r="AT58" s="192">
        <v>0</v>
      </c>
      <c r="AU58" s="192">
        <v>0</v>
      </c>
      <c r="AV58" s="188">
        <f t="shared" ref="AV58:AV66" si="38">AU58-AH58</f>
        <v>-2</v>
      </c>
      <c r="BJ58" s="117" t="s">
        <v>255</v>
      </c>
    </row>
    <row r="59" spans="2:62" collapsed="1" x14ac:dyDescent="0.25">
      <c r="B59" s="178" t="s">
        <v>221</v>
      </c>
      <c r="C59" s="117" t="s">
        <v>254</v>
      </c>
      <c r="D59" s="178" t="s">
        <v>244</v>
      </c>
      <c r="E59" s="136" t="s">
        <v>245</v>
      </c>
      <c r="F59" s="174">
        <f t="shared" ref="F59:Q59" si="39">ROUNDUP(SUM(F15:F17)/F38,)-1</f>
        <v>14</v>
      </c>
      <c r="G59" s="174">
        <f t="shared" si="39"/>
        <v>14</v>
      </c>
      <c r="H59" s="174">
        <f t="shared" si="39"/>
        <v>14</v>
      </c>
      <c r="I59" s="174">
        <f t="shared" si="39"/>
        <v>14</v>
      </c>
      <c r="J59" s="174">
        <f t="shared" si="39"/>
        <v>16</v>
      </c>
      <c r="K59" s="174">
        <f t="shared" si="39"/>
        <v>17</v>
      </c>
      <c r="L59" s="174">
        <f t="shared" si="39"/>
        <v>16</v>
      </c>
      <c r="M59" s="174">
        <f t="shared" si="39"/>
        <v>16</v>
      </c>
      <c r="N59" s="174">
        <f t="shared" si="39"/>
        <v>16</v>
      </c>
      <c r="O59" s="174">
        <f t="shared" si="39"/>
        <v>17</v>
      </c>
      <c r="P59" s="174">
        <f t="shared" si="39"/>
        <v>17</v>
      </c>
      <c r="Q59" s="174">
        <f t="shared" si="39"/>
        <v>20</v>
      </c>
      <c r="R59" s="179"/>
      <c r="S59" s="136" t="s">
        <v>249</v>
      </c>
      <c r="T59" s="136" t="s">
        <v>221</v>
      </c>
      <c r="U59" s="178" t="s">
        <v>244</v>
      </c>
      <c r="V59" s="136" t="s">
        <v>245</v>
      </c>
      <c r="W59" s="189">
        <f t="shared" ref="W59:AH59" si="40">ROUNDUP(SUM(W15:W17)/W38,)-1</f>
        <v>18</v>
      </c>
      <c r="X59" s="189">
        <f t="shared" si="40"/>
        <v>14</v>
      </c>
      <c r="Y59" s="189">
        <f t="shared" si="40"/>
        <v>16</v>
      </c>
      <c r="Z59" s="189">
        <f t="shared" si="40"/>
        <v>16</v>
      </c>
      <c r="AA59" s="189">
        <f t="shared" si="40"/>
        <v>16</v>
      </c>
      <c r="AB59" s="189">
        <f t="shared" si="40"/>
        <v>17</v>
      </c>
      <c r="AC59" s="189">
        <f t="shared" si="40"/>
        <v>12</v>
      </c>
      <c r="AD59" s="189">
        <f t="shared" si="40"/>
        <v>8</v>
      </c>
      <c r="AE59" s="189">
        <f t="shared" si="40"/>
        <v>6</v>
      </c>
      <c r="AF59" s="189">
        <f t="shared" si="40"/>
        <v>7</v>
      </c>
      <c r="AG59" s="189">
        <f t="shared" si="40"/>
        <v>8</v>
      </c>
      <c r="AH59" s="190">
        <f t="shared" si="40"/>
        <v>10</v>
      </c>
      <c r="AI59" s="179"/>
      <c r="AJ59" s="186">
        <v>14</v>
      </c>
      <c r="AK59" s="186">
        <v>12.9</v>
      </c>
      <c r="AL59" s="186">
        <v>11.3</v>
      </c>
      <c r="AM59" s="186">
        <v>11</v>
      </c>
      <c r="AN59" s="191">
        <v>9</v>
      </c>
      <c r="AO59" s="195">
        <v>9</v>
      </c>
      <c r="AP59" s="195">
        <v>9</v>
      </c>
      <c r="AQ59" s="195">
        <f>SUM(ROUNDUP(SUM(AQ17,AQ16,AQ20)/AQ38,))</f>
        <v>9</v>
      </c>
      <c r="AR59" s="192">
        <f>SUM(ROUNDUP(SUM(AR17,AR16,AR20)/AR38,))</f>
        <v>6</v>
      </c>
      <c r="AS59" s="192">
        <f t="shared" ref="AS59:AT59" si="41">SUM(ROUNDUP(SUM(AS15,AS17,AS16,AS20)/AS38,))</f>
        <v>6</v>
      </c>
      <c r="AT59" s="192">
        <f t="shared" si="41"/>
        <v>4</v>
      </c>
      <c r="AU59" s="192">
        <f>SUM(ROUNDDOWN(SUM(AU15,AU17,AU16,AU20)/AU38,))</f>
        <v>4</v>
      </c>
      <c r="AV59" s="188">
        <f t="shared" si="38"/>
        <v>-6</v>
      </c>
      <c r="BI59" s="145"/>
      <c r="BJ59" s="117" t="s">
        <v>256</v>
      </c>
    </row>
    <row r="60" spans="2:62" x14ac:dyDescent="0.25">
      <c r="B60" s="117" t="s">
        <v>224</v>
      </c>
      <c r="C60" s="117" t="s">
        <v>254</v>
      </c>
      <c r="D60" s="136" t="s">
        <v>244</v>
      </c>
      <c r="E60" s="136" t="s">
        <v>245</v>
      </c>
      <c r="F60" s="145">
        <v>1</v>
      </c>
      <c r="G60" s="145">
        <v>1</v>
      </c>
      <c r="H60" s="145">
        <v>1</v>
      </c>
      <c r="I60" s="145">
        <v>1</v>
      </c>
      <c r="J60" s="145">
        <v>1</v>
      </c>
      <c r="K60" s="145">
        <v>1</v>
      </c>
      <c r="L60" s="145">
        <v>1</v>
      </c>
      <c r="M60" s="145">
        <v>1</v>
      </c>
      <c r="N60" s="145">
        <v>1</v>
      </c>
      <c r="O60" s="145">
        <v>1</v>
      </c>
      <c r="P60" s="145">
        <v>1</v>
      </c>
      <c r="Q60" s="145">
        <v>1</v>
      </c>
      <c r="R60" s="179"/>
      <c r="S60" s="182" t="s">
        <v>249</v>
      </c>
      <c r="T60" s="136" t="s">
        <v>224</v>
      </c>
      <c r="U60" s="136" t="s">
        <v>244</v>
      </c>
      <c r="V60" s="136" t="s">
        <v>245</v>
      </c>
      <c r="W60" s="189">
        <v>1</v>
      </c>
      <c r="X60" s="189">
        <v>1</v>
      </c>
      <c r="Y60" s="189">
        <v>1</v>
      </c>
      <c r="Z60" s="189">
        <v>1</v>
      </c>
      <c r="AA60" s="189">
        <v>1</v>
      </c>
      <c r="AB60" s="189">
        <v>1</v>
      </c>
      <c r="AC60" s="189">
        <v>1</v>
      </c>
      <c r="AD60" s="189">
        <v>1</v>
      </c>
      <c r="AE60" s="189">
        <v>1</v>
      </c>
      <c r="AF60" s="189">
        <v>1</v>
      </c>
      <c r="AG60" s="189">
        <v>1</v>
      </c>
      <c r="AH60" s="190">
        <v>1</v>
      </c>
      <c r="AI60" s="179"/>
      <c r="AJ60" s="186">
        <v>1</v>
      </c>
      <c r="AK60" s="186">
        <v>1</v>
      </c>
      <c r="AL60" s="186">
        <v>1</v>
      </c>
      <c r="AM60" s="186">
        <v>1</v>
      </c>
      <c r="AN60" s="186">
        <v>1</v>
      </c>
      <c r="AO60" s="187">
        <f t="shared" ref="AO60:AU60" si="42">ROUNDUP(AO59/AO40,)</f>
        <v>1</v>
      </c>
      <c r="AP60" s="187">
        <f t="shared" si="42"/>
        <v>1</v>
      </c>
      <c r="AQ60" s="187">
        <f t="shared" si="42"/>
        <v>1</v>
      </c>
      <c r="AR60" s="187">
        <f t="shared" si="42"/>
        <v>1</v>
      </c>
      <c r="AS60" s="187">
        <f t="shared" si="42"/>
        <v>1</v>
      </c>
      <c r="AT60" s="187">
        <f t="shared" si="42"/>
        <v>1</v>
      </c>
      <c r="AU60" s="187">
        <f t="shared" si="42"/>
        <v>1</v>
      </c>
      <c r="AV60" s="188">
        <f t="shared" si="38"/>
        <v>0</v>
      </c>
    </row>
    <row r="61" spans="2:62" x14ac:dyDescent="0.25">
      <c r="B61" s="136" t="s">
        <v>228</v>
      </c>
      <c r="C61" s="117" t="s">
        <v>254</v>
      </c>
      <c r="D61" s="136" t="s">
        <v>244</v>
      </c>
      <c r="E61" s="136" t="s">
        <v>245</v>
      </c>
      <c r="F61" s="174">
        <v>15</v>
      </c>
      <c r="G61" s="174">
        <v>13</v>
      </c>
      <c r="H61" s="174">
        <v>12</v>
      </c>
      <c r="I61" s="174">
        <v>11</v>
      </c>
      <c r="J61" s="174">
        <v>11</v>
      </c>
      <c r="K61" s="174">
        <v>10</v>
      </c>
      <c r="L61" s="174">
        <v>10</v>
      </c>
      <c r="M61" s="174">
        <v>11</v>
      </c>
      <c r="N61" s="174">
        <v>10</v>
      </c>
      <c r="O61" s="174">
        <v>9</v>
      </c>
      <c r="P61" s="174">
        <v>9</v>
      </c>
      <c r="Q61" s="174">
        <v>7</v>
      </c>
      <c r="R61" s="179"/>
      <c r="S61" s="136" t="s">
        <v>249</v>
      </c>
      <c r="T61" s="136" t="s">
        <v>228</v>
      </c>
      <c r="U61" s="136" t="s">
        <v>244</v>
      </c>
      <c r="V61" s="136" t="s">
        <v>245</v>
      </c>
      <c r="W61" s="189">
        <f t="shared" ref="W61:AH61" si="43">ROUNDUP(SUM(W21)/W42,)</f>
        <v>11</v>
      </c>
      <c r="X61" s="189">
        <f t="shared" si="43"/>
        <v>9</v>
      </c>
      <c r="Y61" s="189">
        <f t="shared" si="43"/>
        <v>10</v>
      </c>
      <c r="Z61" s="189">
        <f t="shared" si="43"/>
        <v>10</v>
      </c>
      <c r="AA61" s="189">
        <f t="shared" si="43"/>
        <v>10</v>
      </c>
      <c r="AB61" s="189">
        <f t="shared" si="43"/>
        <v>10</v>
      </c>
      <c r="AC61" s="189">
        <f t="shared" si="43"/>
        <v>7</v>
      </c>
      <c r="AD61" s="189">
        <f t="shared" si="43"/>
        <v>5</v>
      </c>
      <c r="AE61" s="189">
        <f t="shared" si="43"/>
        <v>4</v>
      </c>
      <c r="AF61" s="189">
        <f t="shared" si="43"/>
        <v>4</v>
      </c>
      <c r="AG61" s="189">
        <f t="shared" si="43"/>
        <v>4</v>
      </c>
      <c r="AH61" s="190">
        <f t="shared" si="43"/>
        <v>4</v>
      </c>
      <c r="AI61" s="179"/>
      <c r="AJ61" s="186">
        <v>8</v>
      </c>
      <c r="AK61" s="186">
        <v>8.1</v>
      </c>
      <c r="AL61" s="186">
        <v>8</v>
      </c>
      <c r="AM61" s="186">
        <v>7.6999999999999993</v>
      </c>
      <c r="AN61" s="186">
        <v>6</v>
      </c>
      <c r="AO61" s="187">
        <v>6</v>
      </c>
      <c r="AP61" s="187">
        <v>4</v>
      </c>
      <c r="AQ61" s="187">
        <v>4</v>
      </c>
      <c r="AR61" s="187">
        <v>4</v>
      </c>
      <c r="AS61" s="187">
        <v>4</v>
      </c>
      <c r="AT61" s="187">
        <v>4</v>
      </c>
      <c r="AU61" s="187">
        <v>4</v>
      </c>
      <c r="AV61" s="188">
        <f t="shared" si="38"/>
        <v>0</v>
      </c>
      <c r="BJ61" s="117" t="s">
        <v>257</v>
      </c>
    </row>
    <row r="62" spans="2:62" x14ac:dyDescent="0.25">
      <c r="B62" s="136" t="s">
        <v>233</v>
      </c>
      <c r="C62" s="117" t="s">
        <v>258</v>
      </c>
      <c r="D62" s="136" t="s">
        <v>244</v>
      </c>
      <c r="E62" s="136" t="s">
        <v>245</v>
      </c>
      <c r="F62" s="174">
        <v>4</v>
      </c>
      <c r="G62" s="174">
        <v>4</v>
      </c>
      <c r="H62" s="174">
        <v>4</v>
      </c>
      <c r="I62" s="174">
        <v>4</v>
      </c>
      <c r="J62" s="174">
        <v>4</v>
      </c>
      <c r="K62" s="174">
        <v>4</v>
      </c>
      <c r="L62" s="174">
        <v>4</v>
      </c>
      <c r="M62" s="174">
        <v>4</v>
      </c>
      <c r="N62" s="174">
        <v>4</v>
      </c>
      <c r="O62" s="174">
        <f>ROUNDUP(O25/O44,)+ROUNDUP(O26/O45,)+ROUNDUP(O27/O46,)</f>
        <v>4</v>
      </c>
      <c r="P62" s="174">
        <v>4</v>
      </c>
      <c r="Q62" s="174">
        <v>4</v>
      </c>
      <c r="R62" s="179"/>
      <c r="S62" s="136" t="s">
        <v>249</v>
      </c>
      <c r="T62" s="136" t="s">
        <v>233</v>
      </c>
      <c r="U62" s="136" t="s">
        <v>244</v>
      </c>
      <c r="V62" s="136" t="s">
        <v>245</v>
      </c>
      <c r="W62" s="189">
        <f>ROUNDUP(W25/W44,)+ROUNDUP(W26/W45,)+ROUNDUP(W27/W46,)-1</f>
        <v>4</v>
      </c>
      <c r="X62" s="189">
        <f>ROUNDUP(X25/X44,)+ROUNDUP(X26/X45,)+ROUNDUP(X27/X46,)-1</f>
        <v>5</v>
      </c>
      <c r="Y62" s="189">
        <f>ROUNDUP(Y25/Y44,)+ROUNDUP(Y26/Y45,)+ROUNDUP(Y27/Y46,)-1</f>
        <v>6</v>
      </c>
      <c r="Z62" s="189">
        <f t="shared" ref="Z62:AH62" si="44">ROUNDUP(Z25/Z44,)+ROUNDUP(Z26/Z45,)+ROUNDUP(Z27/Z46,)-3</f>
        <v>5</v>
      </c>
      <c r="AA62" s="189">
        <f t="shared" si="44"/>
        <v>6</v>
      </c>
      <c r="AB62" s="189">
        <f t="shared" si="44"/>
        <v>8</v>
      </c>
      <c r="AC62" s="189">
        <f t="shared" si="44"/>
        <v>9</v>
      </c>
      <c r="AD62" s="189">
        <f t="shared" si="44"/>
        <v>10</v>
      </c>
      <c r="AE62" s="189">
        <f t="shared" si="44"/>
        <v>11</v>
      </c>
      <c r="AF62" s="189">
        <f t="shared" si="44"/>
        <v>11</v>
      </c>
      <c r="AG62" s="189">
        <f t="shared" si="44"/>
        <v>12</v>
      </c>
      <c r="AH62" s="190">
        <f t="shared" si="44"/>
        <v>13</v>
      </c>
      <c r="AI62" s="179"/>
      <c r="AJ62" s="194">
        <v>5</v>
      </c>
      <c r="AK62" s="194">
        <v>5.9</v>
      </c>
      <c r="AL62" s="194">
        <v>7</v>
      </c>
      <c r="AM62" s="194">
        <v>7</v>
      </c>
      <c r="AN62" s="191">
        <v>7</v>
      </c>
      <c r="AO62" s="195">
        <f t="shared" ref="AO62:AU62" si="45">ROUNDUP(SUM(AO25/AO44,AO26/AO45,AO27/AO46),)</f>
        <v>8</v>
      </c>
      <c r="AP62" s="195">
        <f t="shared" si="45"/>
        <v>8</v>
      </c>
      <c r="AQ62" s="195">
        <f t="shared" si="45"/>
        <v>8</v>
      </c>
      <c r="AR62" s="195">
        <f t="shared" si="45"/>
        <v>8</v>
      </c>
      <c r="AS62" s="195">
        <f t="shared" si="45"/>
        <v>9</v>
      </c>
      <c r="AT62" s="195">
        <f t="shared" si="45"/>
        <v>9</v>
      </c>
      <c r="AU62" s="195">
        <f t="shared" si="45"/>
        <v>9</v>
      </c>
      <c r="AV62" s="188">
        <f t="shared" si="38"/>
        <v>-4</v>
      </c>
      <c r="BI62" s="145"/>
    </row>
    <row r="63" spans="2:62" x14ac:dyDescent="0.25">
      <c r="B63" s="136" t="s">
        <v>259</v>
      </c>
      <c r="C63" s="117" t="s">
        <v>258</v>
      </c>
      <c r="D63" s="178" t="s">
        <v>244</v>
      </c>
      <c r="E63" s="136" t="s">
        <v>245</v>
      </c>
      <c r="F63" s="145">
        <v>1</v>
      </c>
      <c r="G63" s="145">
        <v>1</v>
      </c>
      <c r="H63" s="145">
        <v>1</v>
      </c>
      <c r="I63" s="145">
        <v>1</v>
      </c>
      <c r="J63" s="145">
        <v>1</v>
      </c>
      <c r="K63" s="145">
        <v>1</v>
      </c>
      <c r="L63" s="145">
        <v>1</v>
      </c>
      <c r="M63" s="145">
        <v>1</v>
      </c>
      <c r="N63" s="145">
        <v>1</v>
      </c>
      <c r="O63" s="145">
        <v>1</v>
      </c>
      <c r="P63" s="145">
        <v>1</v>
      </c>
      <c r="Q63" s="145">
        <v>1</v>
      </c>
      <c r="R63" s="179"/>
      <c r="S63" s="136" t="s">
        <v>249</v>
      </c>
      <c r="T63" s="136" t="s">
        <v>259</v>
      </c>
      <c r="U63" s="178" t="s">
        <v>244</v>
      </c>
      <c r="V63" s="117" t="s">
        <v>245</v>
      </c>
      <c r="W63" s="189">
        <v>1</v>
      </c>
      <c r="X63" s="189">
        <v>1</v>
      </c>
      <c r="Y63" s="189">
        <v>1</v>
      </c>
      <c r="Z63" s="189">
        <v>3</v>
      </c>
      <c r="AA63" s="189">
        <v>3</v>
      </c>
      <c r="AB63" s="189">
        <v>3</v>
      </c>
      <c r="AC63" s="189">
        <v>3</v>
      </c>
      <c r="AD63" s="189">
        <v>3</v>
      </c>
      <c r="AE63" s="189">
        <v>3</v>
      </c>
      <c r="AF63" s="189">
        <v>3</v>
      </c>
      <c r="AG63" s="189">
        <v>3</v>
      </c>
      <c r="AH63" s="190">
        <v>3</v>
      </c>
      <c r="AI63" s="179"/>
      <c r="AJ63" s="186">
        <v>3</v>
      </c>
      <c r="AK63" s="186">
        <v>3</v>
      </c>
      <c r="AL63" s="186">
        <v>3</v>
      </c>
      <c r="AM63" s="186">
        <v>3</v>
      </c>
      <c r="AN63" s="191">
        <v>3</v>
      </c>
      <c r="AO63" s="195">
        <f>ROUNDUP(AO14/AO47,)</f>
        <v>3</v>
      </c>
      <c r="AP63" s="195">
        <f>ROUNDUP(AP14/AP47,)</f>
        <v>5</v>
      </c>
      <c r="AQ63" s="195">
        <f>ROUNDDOWN(AQ14/AQ47,)</f>
        <v>5</v>
      </c>
      <c r="AR63" s="195">
        <f>ROUNDDOWN(AR14/AR47,)</f>
        <v>5</v>
      </c>
      <c r="AS63" s="195">
        <f>ROUNDDOWN(AS14/AS47,)</f>
        <v>5</v>
      </c>
      <c r="AT63" s="195">
        <f>ROUNDUP(AT14/AT47,)</f>
        <v>6</v>
      </c>
      <c r="AU63" s="195">
        <f>ROUNDUP(AU14/AU47,)</f>
        <v>6</v>
      </c>
      <c r="AV63" s="188">
        <f t="shared" si="38"/>
        <v>3</v>
      </c>
      <c r="BI63" s="145"/>
    </row>
    <row r="64" spans="2:62" x14ac:dyDescent="0.25">
      <c r="B64" s="182" t="s">
        <v>260</v>
      </c>
      <c r="C64" s="117" t="s">
        <v>261</v>
      </c>
      <c r="D64" s="136" t="s">
        <v>244</v>
      </c>
      <c r="E64" s="136" t="s">
        <v>245</v>
      </c>
      <c r="F64" s="192">
        <f t="shared" ref="F64:O64" si="46">IFERROR(ROUNDUP(F19/F43,0),0)</f>
        <v>8</v>
      </c>
      <c r="G64" s="192">
        <f t="shared" si="46"/>
        <v>8</v>
      </c>
      <c r="H64" s="192">
        <f t="shared" si="46"/>
        <v>8</v>
      </c>
      <c r="I64" s="192">
        <f t="shared" si="46"/>
        <v>8</v>
      </c>
      <c r="J64" s="192">
        <f t="shared" si="46"/>
        <v>8</v>
      </c>
      <c r="K64" s="192">
        <f t="shared" si="46"/>
        <v>8</v>
      </c>
      <c r="L64" s="192">
        <f t="shared" si="46"/>
        <v>8</v>
      </c>
      <c r="M64" s="192">
        <f t="shared" si="46"/>
        <v>9</v>
      </c>
      <c r="N64" s="192">
        <f t="shared" si="46"/>
        <v>9</v>
      </c>
      <c r="O64" s="192">
        <f t="shared" si="46"/>
        <v>9</v>
      </c>
      <c r="P64" s="192">
        <v>10</v>
      </c>
      <c r="Q64" s="192">
        <v>10</v>
      </c>
      <c r="R64" s="179"/>
      <c r="S64" s="182" t="s">
        <v>230</v>
      </c>
      <c r="T64" s="136"/>
      <c r="U64" s="136" t="s">
        <v>244</v>
      </c>
      <c r="V64" s="136" t="s">
        <v>245</v>
      </c>
      <c r="W64" s="189">
        <f t="shared" ref="W64:AH64" si="47">ROUNDUP(W19/W43,)</f>
        <v>13</v>
      </c>
      <c r="X64" s="189">
        <f t="shared" si="47"/>
        <v>13</v>
      </c>
      <c r="Y64" s="189">
        <f t="shared" si="47"/>
        <v>13</v>
      </c>
      <c r="Z64" s="189">
        <f t="shared" si="47"/>
        <v>14</v>
      </c>
      <c r="AA64" s="189">
        <f t="shared" si="47"/>
        <v>14</v>
      </c>
      <c r="AB64" s="189">
        <f t="shared" si="47"/>
        <v>15</v>
      </c>
      <c r="AC64" s="189">
        <f t="shared" si="47"/>
        <v>17</v>
      </c>
      <c r="AD64" s="189">
        <f t="shared" si="47"/>
        <v>18</v>
      </c>
      <c r="AE64" s="189">
        <f t="shared" si="47"/>
        <v>19</v>
      </c>
      <c r="AF64" s="189">
        <f t="shared" si="47"/>
        <v>19</v>
      </c>
      <c r="AG64" s="189">
        <f t="shared" si="47"/>
        <v>19</v>
      </c>
      <c r="AH64" s="190">
        <f t="shared" si="47"/>
        <v>18</v>
      </c>
      <c r="AI64" s="179"/>
      <c r="AJ64" s="186">
        <v>10</v>
      </c>
      <c r="AK64" s="186">
        <v>10</v>
      </c>
      <c r="AL64" s="186">
        <v>9.6</v>
      </c>
      <c r="AM64" s="186">
        <v>9</v>
      </c>
      <c r="AN64" s="191">
        <v>8.5</v>
      </c>
      <c r="AO64" s="192">
        <v>8</v>
      </c>
      <c r="AP64" s="192">
        <v>8</v>
      </c>
      <c r="AQ64" s="192">
        <v>8</v>
      </c>
      <c r="AR64" s="192">
        <v>8</v>
      </c>
      <c r="AS64" s="192">
        <v>8</v>
      </c>
      <c r="AT64" s="192">
        <v>8</v>
      </c>
      <c r="AU64" s="192">
        <v>8</v>
      </c>
      <c r="AV64" s="188">
        <f t="shared" si="38"/>
        <v>-10</v>
      </c>
      <c r="BI64" s="145"/>
      <c r="BJ64" s="117" t="s">
        <v>262</v>
      </c>
    </row>
    <row r="65" spans="2:48" x14ac:dyDescent="0.25">
      <c r="B65" s="117" t="s">
        <v>239</v>
      </c>
      <c r="C65" s="117" t="s">
        <v>263</v>
      </c>
      <c r="D65" s="136" t="s">
        <v>244</v>
      </c>
      <c r="E65" s="136" t="s">
        <v>245</v>
      </c>
      <c r="F65" s="196">
        <v>5</v>
      </c>
      <c r="G65" s="196">
        <v>5</v>
      </c>
      <c r="H65" s="196">
        <v>5</v>
      </c>
      <c r="I65" s="196">
        <v>5</v>
      </c>
      <c r="J65" s="197">
        <v>6.4</v>
      </c>
      <c r="K65" s="197">
        <v>6.4</v>
      </c>
      <c r="L65" s="197">
        <v>6.4</v>
      </c>
      <c r="M65" s="196">
        <v>6</v>
      </c>
      <c r="N65" s="196">
        <v>6</v>
      </c>
      <c r="O65" s="196">
        <v>6</v>
      </c>
      <c r="P65" s="196">
        <v>6</v>
      </c>
      <c r="Q65" s="117">
        <v>6</v>
      </c>
      <c r="R65" s="179"/>
      <c r="S65" s="182" t="s">
        <v>249</v>
      </c>
      <c r="T65" s="136" t="s">
        <v>239</v>
      </c>
      <c r="U65" s="136"/>
      <c r="V65" s="136"/>
      <c r="W65" s="198">
        <v>2</v>
      </c>
      <c r="X65" s="198">
        <v>2</v>
      </c>
      <c r="Y65" s="198">
        <v>2</v>
      </c>
      <c r="Z65" s="198">
        <v>2</v>
      </c>
      <c r="AA65" s="198">
        <v>2</v>
      </c>
      <c r="AB65" s="198">
        <v>2</v>
      </c>
      <c r="AC65" s="198">
        <v>2</v>
      </c>
      <c r="AD65" s="198">
        <v>2</v>
      </c>
      <c r="AE65" s="198">
        <v>2</v>
      </c>
      <c r="AF65" s="198">
        <v>2</v>
      </c>
      <c r="AG65" s="198">
        <v>2</v>
      </c>
      <c r="AH65" s="190">
        <v>2</v>
      </c>
      <c r="AI65" s="179"/>
      <c r="AJ65" s="186">
        <v>4.0199999999999996</v>
      </c>
      <c r="AK65" s="186">
        <v>4.0199999999999996</v>
      </c>
      <c r="AL65" s="186">
        <v>3.12</v>
      </c>
      <c r="AM65" s="186">
        <v>3.02</v>
      </c>
      <c r="AN65" s="186">
        <v>1.08</v>
      </c>
      <c r="AO65" s="187">
        <v>1.02</v>
      </c>
      <c r="AP65" s="187">
        <v>1.02</v>
      </c>
      <c r="AQ65" s="187">
        <v>1.02</v>
      </c>
      <c r="AR65" s="187">
        <v>1.02</v>
      </c>
      <c r="AS65" s="187">
        <v>1.02</v>
      </c>
      <c r="AT65" s="187">
        <v>1.02</v>
      </c>
      <c r="AU65" s="187">
        <v>1.02</v>
      </c>
      <c r="AV65" s="188">
        <f t="shared" si="38"/>
        <v>-0.98</v>
      </c>
    </row>
    <row r="66" spans="2:48" x14ac:dyDescent="0.25">
      <c r="B66" s="117" t="s">
        <v>226</v>
      </c>
      <c r="C66" s="117" t="s">
        <v>263</v>
      </c>
      <c r="D66" s="136" t="s">
        <v>244</v>
      </c>
      <c r="E66" s="136" t="s">
        <v>245</v>
      </c>
      <c r="F66" s="196">
        <v>1</v>
      </c>
      <c r="G66" s="196">
        <v>1</v>
      </c>
      <c r="H66" s="196">
        <v>1</v>
      </c>
      <c r="I66" s="196">
        <v>1</v>
      </c>
      <c r="J66" s="196">
        <v>1</v>
      </c>
      <c r="K66" s="196">
        <v>1</v>
      </c>
      <c r="L66" s="196">
        <v>1</v>
      </c>
      <c r="M66" s="196">
        <v>1</v>
      </c>
      <c r="N66" s="196">
        <v>1</v>
      </c>
      <c r="O66" s="196">
        <v>1</v>
      </c>
      <c r="P66" s="196">
        <v>1</v>
      </c>
      <c r="Q66" s="117">
        <v>1</v>
      </c>
      <c r="R66" s="179"/>
      <c r="S66" s="182" t="s">
        <v>249</v>
      </c>
      <c r="T66" s="136" t="s">
        <v>226</v>
      </c>
      <c r="U66" s="136"/>
      <c r="V66" s="136"/>
      <c r="W66" s="198">
        <v>1</v>
      </c>
      <c r="X66" s="198">
        <v>1</v>
      </c>
      <c r="Y66" s="198">
        <v>1</v>
      </c>
      <c r="Z66" s="198">
        <v>1</v>
      </c>
      <c r="AA66" s="198">
        <v>1</v>
      </c>
      <c r="AB66" s="198">
        <v>1</v>
      </c>
      <c r="AC66" s="198">
        <v>1</v>
      </c>
      <c r="AD66" s="198">
        <v>1</v>
      </c>
      <c r="AE66" s="198">
        <v>1</v>
      </c>
      <c r="AF66" s="198">
        <v>1</v>
      </c>
      <c r="AG66" s="198">
        <v>1</v>
      </c>
      <c r="AH66" s="190">
        <v>1</v>
      </c>
      <c r="AI66" s="179"/>
      <c r="AJ66" s="186">
        <v>1</v>
      </c>
      <c r="AK66" s="186">
        <v>1</v>
      </c>
      <c r="AL66" s="186">
        <v>1</v>
      </c>
      <c r="AM66" s="186">
        <v>1</v>
      </c>
      <c r="AN66" s="186">
        <v>1</v>
      </c>
      <c r="AO66" s="187">
        <f t="shared" ref="AO66" si="48">ROUNDUP(AO65/AO41,)</f>
        <v>1</v>
      </c>
      <c r="AP66" s="199">
        <v>0</v>
      </c>
      <c r="AQ66" s="199">
        <v>0</v>
      </c>
      <c r="AR66" s="199">
        <v>0</v>
      </c>
      <c r="AS66" s="199">
        <v>0</v>
      </c>
      <c r="AT66" s="199">
        <v>0</v>
      </c>
      <c r="AU66" s="199">
        <v>0</v>
      </c>
      <c r="AV66" s="188">
        <f t="shared" si="38"/>
        <v>-1</v>
      </c>
    </row>
    <row r="67" spans="2:48" x14ac:dyDescent="0.25">
      <c r="B67" s="117" t="s">
        <v>264</v>
      </c>
      <c r="D67" s="136" t="s">
        <v>244</v>
      </c>
      <c r="E67" s="136" t="s">
        <v>245</v>
      </c>
      <c r="F67" s="117">
        <v>24</v>
      </c>
      <c r="G67" s="117">
        <v>19</v>
      </c>
      <c r="H67" s="117">
        <v>17</v>
      </c>
      <c r="I67" s="117">
        <v>17</v>
      </c>
      <c r="J67" s="154">
        <v>16</v>
      </c>
      <c r="K67" s="154">
        <v>14.399999999999999</v>
      </c>
      <c r="L67" s="154">
        <v>14.399999999999999</v>
      </c>
      <c r="M67" s="117">
        <v>15.399999999999999</v>
      </c>
      <c r="N67" s="117">
        <v>15.299999999999999</v>
      </c>
      <c r="O67" s="117">
        <v>9</v>
      </c>
      <c r="P67" s="117">
        <v>2</v>
      </c>
      <c r="Q67" s="117">
        <v>2</v>
      </c>
      <c r="R67" s="179"/>
      <c r="S67" s="182"/>
      <c r="T67" s="136"/>
      <c r="U67" s="136"/>
      <c r="V67" s="136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79"/>
      <c r="AJ67" s="186">
        <v>0</v>
      </c>
      <c r="AK67" s="186">
        <v>0</v>
      </c>
      <c r="AL67" s="186">
        <v>0</v>
      </c>
      <c r="AM67" s="186">
        <v>0</v>
      </c>
      <c r="AN67" s="186">
        <v>0</v>
      </c>
      <c r="AO67" s="187">
        <v>0</v>
      </c>
      <c r="AP67" s="187">
        <v>0</v>
      </c>
      <c r="AQ67" s="187">
        <v>0</v>
      </c>
      <c r="AR67" s="187">
        <v>0</v>
      </c>
      <c r="AS67" s="187">
        <v>0</v>
      </c>
      <c r="AT67" s="187">
        <v>0</v>
      </c>
      <c r="AU67" s="187">
        <v>0</v>
      </c>
      <c r="AV67" s="200"/>
    </row>
    <row r="68" spans="2:48" x14ac:dyDescent="0.25">
      <c r="B68" s="201" t="s">
        <v>265</v>
      </c>
      <c r="R68" s="179"/>
      <c r="AI68" s="179"/>
    </row>
    <row r="69" spans="2:48" x14ac:dyDescent="0.25">
      <c r="B69" s="136" t="s">
        <v>233</v>
      </c>
      <c r="C69" s="136" t="s">
        <v>234</v>
      </c>
      <c r="F69" s="117">
        <f t="shared" ref="F69:Q69" si="49">ROUNDUP(F25/F44,)</f>
        <v>1</v>
      </c>
      <c r="G69" s="117">
        <f t="shared" si="49"/>
        <v>1</v>
      </c>
      <c r="H69" s="117">
        <f t="shared" si="49"/>
        <v>1</v>
      </c>
      <c r="I69" s="117">
        <f t="shared" si="49"/>
        <v>1</v>
      </c>
      <c r="J69" s="117">
        <f t="shared" si="49"/>
        <v>1</v>
      </c>
      <c r="K69" s="117">
        <f t="shared" si="49"/>
        <v>1</v>
      </c>
      <c r="L69" s="117">
        <f t="shared" si="49"/>
        <v>1</v>
      </c>
      <c r="M69" s="117">
        <f t="shared" si="49"/>
        <v>1</v>
      </c>
      <c r="N69" s="117">
        <f t="shared" si="49"/>
        <v>1</v>
      </c>
      <c r="O69" s="117">
        <f t="shared" si="49"/>
        <v>2</v>
      </c>
      <c r="P69" s="117">
        <f t="shared" si="49"/>
        <v>2</v>
      </c>
      <c r="Q69" s="117">
        <f t="shared" si="49"/>
        <v>2</v>
      </c>
      <c r="R69" s="179"/>
      <c r="S69" s="180" t="s">
        <v>233</v>
      </c>
      <c r="T69" s="136" t="s">
        <v>234</v>
      </c>
      <c r="W69" s="117">
        <f t="shared" ref="W69:AH71" si="50">ROUNDUP(W25/W44,)</f>
        <v>2</v>
      </c>
      <c r="X69" s="117">
        <f t="shared" si="50"/>
        <v>2</v>
      </c>
      <c r="Y69" s="117">
        <f t="shared" si="50"/>
        <v>2</v>
      </c>
      <c r="Z69" s="117">
        <f t="shared" si="50"/>
        <v>2</v>
      </c>
      <c r="AA69" s="117">
        <f t="shared" si="50"/>
        <v>2</v>
      </c>
      <c r="AB69" s="117">
        <f t="shared" si="50"/>
        <v>3</v>
      </c>
      <c r="AC69" s="117">
        <f t="shared" si="50"/>
        <v>3</v>
      </c>
      <c r="AD69" s="117">
        <f t="shared" si="50"/>
        <v>3</v>
      </c>
      <c r="AE69" s="117">
        <f t="shared" si="50"/>
        <v>3</v>
      </c>
      <c r="AF69" s="117">
        <f t="shared" si="50"/>
        <v>3</v>
      </c>
      <c r="AG69" s="117">
        <f t="shared" si="50"/>
        <v>3</v>
      </c>
      <c r="AH69" s="117">
        <f t="shared" si="50"/>
        <v>3</v>
      </c>
      <c r="AI69" s="179"/>
      <c r="AJ69" s="157">
        <v>2</v>
      </c>
      <c r="AK69" s="157">
        <v>2</v>
      </c>
      <c r="AL69" s="157">
        <v>2</v>
      </c>
      <c r="AM69" s="157">
        <v>2</v>
      </c>
      <c r="AN69" s="157">
        <v>2</v>
      </c>
      <c r="AO69" s="117">
        <f t="shared" ref="AO69:AU71" si="51">ROUNDUP(AO25/AO44,)</f>
        <v>2</v>
      </c>
      <c r="AP69" s="117">
        <f t="shared" si="51"/>
        <v>2</v>
      </c>
      <c r="AQ69" s="117">
        <f t="shared" si="51"/>
        <v>2</v>
      </c>
      <c r="AR69" s="117">
        <f t="shared" si="51"/>
        <v>2</v>
      </c>
      <c r="AS69" s="117">
        <f t="shared" si="51"/>
        <v>3</v>
      </c>
      <c r="AT69" s="117">
        <f t="shared" si="51"/>
        <v>3</v>
      </c>
      <c r="AU69" s="117">
        <f t="shared" si="51"/>
        <v>3</v>
      </c>
    </row>
    <row r="70" spans="2:48" x14ac:dyDescent="0.25">
      <c r="B70" s="136" t="s">
        <v>233</v>
      </c>
      <c r="C70" s="136" t="s">
        <v>235</v>
      </c>
      <c r="F70" s="117">
        <f t="shared" ref="F70:O70" si="52">IFERROR(ROUNDUP(F26/F45,),0)</f>
        <v>0</v>
      </c>
      <c r="G70" s="117">
        <f t="shared" si="52"/>
        <v>0</v>
      </c>
      <c r="H70" s="117">
        <f t="shared" si="52"/>
        <v>0</v>
      </c>
      <c r="I70" s="117">
        <f t="shared" si="52"/>
        <v>0</v>
      </c>
      <c r="J70" s="117">
        <f t="shared" si="52"/>
        <v>0</v>
      </c>
      <c r="K70" s="117">
        <f t="shared" si="52"/>
        <v>0</v>
      </c>
      <c r="L70" s="117">
        <f t="shared" si="52"/>
        <v>0</v>
      </c>
      <c r="M70" s="117">
        <f t="shared" si="52"/>
        <v>0</v>
      </c>
      <c r="N70" s="117">
        <f t="shared" si="52"/>
        <v>0</v>
      </c>
      <c r="O70" s="117">
        <f t="shared" si="52"/>
        <v>1</v>
      </c>
      <c r="P70" s="117">
        <f>ROUNDUP(P26/P45,)</f>
        <v>1</v>
      </c>
      <c r="Q70" s="117">
        <f>ROUNDUP(Q26/Q45,)</f>
        <v>1</v>
      </c>
      <c r="R70" s="179"/>
      <c r="S70" s="180" t="s">
        <v>233</v>
      </c>
      <c r="T70" s="136" t="s">
        <v>235</v>
      </c>
      <c r="W70" s="117">
        <f t="shared" si="50"/>
        <v>1</v>
      </c>
      <c r="X70" s="117">
        <f t="shared" si="50"/>
        <v>2</v>
      </c>
      <c r="Y70" s="117">
        <f t="shared" si="50"/>
        <v>3</v>
      </c>
      <c r="Z70" s="117">
        <f t="shared" si="50"/>
        <v>3</v>
      </c>
      <c r="AA70" s="117">
        <f t="shared" si="50"/>
        <v>3</v>
      </c>
      <c r="AB70" s="117">
        <f t="shared" si="50"/>
        <v>4</v>
      </c>
      <c r="AC70" s="117">
        <f t="shared" si="50"/>
        <v>4</v>
      </c>
      <c r="AD70" s="117">
        <f t="shared" si="50"/>
        <v>4</v>
      </c>
      <c r="AE70" s="117">
        <f t="shared" si="50"/>
        <v>4</v>
      </c>
      <c r="AF70" s="117">
        <f t="shared" si="50"/>
        <v>4</v>
      </c>
      <c r="AG70" s="117">
        <f t="shared" si="50"/>
        <v>4</v>
      </c>
      <c r="AH70" s="117">
        <f t="shared" si="50"/>
        <v>4</v>
      </c>
      <c r="AI70" s="179"/>
      <c r="AJ70" s="157">
        <v>1</v>
      </c>
      <c r="AK70" s="157">
        <v>2</v>
      </c>
      <c r="AL70" s="157">
        <v>3</v>
      </c>
      <c r="AM70" s="157">
        <v>3</v>
      </c>
      <c r="AN70" s="157">
        <v>3</v>
      </c>
      <c r="AO70" s="117">
        <f t="shared" si="51"/>
        <v>4</v>
      </c>
      <c r="AP70" s="117">
        <f t="shared" si="51"/>
        <v>4</v>
      </c>
      <c r="AQ70" s="117">
        <f t="shared" si="51"/>
        <v>4</v>
      </c>
      <c r="AR70" s="117">
        <f t="shared" si="51"/>
        <v>4</v>
      </c>
      <c r="AS70" s="117">
        <f t="shared" si="51"/>
        <v>4</v>
      </c>
      <c r="AT70" s="117">
        <f t="shared" si="51"/>
        <v>4</v>
      </c>
      <c r="AU70" s="117">
        <f t="shared" si="51"/>
        <v>4</v>
      </c>
    </row>
    <row r="71" spans="2:48" x14ac:dyDescent="0.25">
      <c r="B71" s="136" t="s">
        <v>233</v>
      </c>
      <c r="C71" s="136" t="s">
        <v>237</v>
      </c>
      <c r="F71" s="117">
        <f t="shared" ref="F71:O71" si="53">ROUNDUP(F27/F46,)</f>
        <v>3</v>
      </c>
      <c r="G71" s="117">
        <f t="shared" si="53"/>
        <v>3</v>
      </c>
      <c r="H71" s="117">
        <f t="shared" si="53"/>
        <v>3</v>
      </c>
      <c r="I71" s="117">
        <f t="shared" si="53"/>
        <v>3</v>
      </c>
      <c r="J71" s="117">
        <f t="shared" si="53"/>
        <v>3</v>
      </c>
      <c r="K71" s="117">
        <f t="shared" si="53"/>
        <v>3</v>
      </c>
      <c r="L71" s="117">
        <f t="shared" si="53"/>
        <v>3</v>
      </c>
      <c r="M71" s="117">
        <f t="shared" si="53"/>
        <v>3</v>
      </c>
      <c r="N71" s="117">
        <f t="shared" si="53"/>
        <v>3</v>
      </c>
      <c r="O71" s="117">
        <f t="shared" si="53"/>
        <v>1</v>
      </c>
      <c r="P71" s="117">
        <f>ROUNDUP(P27/P46,)</f>
        <v>2</v>
      </c>
      <c r="Q71" s="117">
        <f>ROUNDUP(Q27/Q46,)</f>
        <v>2</v>
      </c>
      <c r="R71" s="179"/>
      <c r="S71" s="180" t="s">
        <v>233</v>
      </c>
      <c r="T71" s="136" t="s">
        <v>237</v>
      </c>
      <c r="W71" s="117">
        <f t="shared" si="50"/>
        <v>2</v>
      </c>
      <c r="X71" s="117">
        <f t="shared" si="50"/>
        <v>2</v>
      </c>
      <c r="Y71" s="117">
        <f t="shared" si="50"/>
        <v>2</v>
      </c>
      <c r="Z71" s="117">
        <f t="shared" si="50"/>
        <v>3</v>
      </c>
      <c r="AA71" s="117">
        <f t="shared" si="50"/>
        <v>4</v>
      </c>
      <c r="AB71" s="117">
        <f t="shared" si="50"/>
        <v>4</v>
      </c>
      <c r="AC71" s="117">
        <f t="shared" si="50"/>
        <v>5</v>
      </c>
      <c r="AD71" s="117">
        <f t="shared" si="50"/>
        <v>6</v>
      </c>
      <c r="AE71" s="117">
        <f t="shared" si="50"/>
        <v>7</v>
      </c>
      <c r="AF71" s="117">
        <f t="shared" si="50"/>
        <v>7</v>
      </c>
      <c r="AG71" s="117">
        <f t="shared" si="50"/>
        <v>8</v>
      </c>
      <c r="AH71" s="117">
        <f t="shared" si="50"/>
        <v>9</v>
      </c>
      <c r="AI71" s="179"/>
      <c r="AJ71" s="157">
        <v>2</v>
      </c>
      <c r="AK71" s="157">
        <v>2</v>
      </c>
      <c r="AL71" s="157">
        <v>2</v>
      </c>
      <c r="AM71" s="157">
        <v>2</v>
      </c>
      <c r="AN71" s="157">
        <v>2</v>
      </c>
      <c r="AO71" s="117">
        <f t="shared" si="51"/>
        <v>3</v>
      </c>
      <c r="AP71" s="117">
        <f t="shared" si="51"/>
        <v>3</v>
      </c>
      <c r="AQ71" s="117">
        <f t="shared" si="51"/>
        <v>3</v>
      </c>
      <c r="AR71" s="117">
        <f t="shared" si="51"/>
        <v>3</v>
      </c>
      <c r="AS71" s="117">
        <f t="shared" si="51"/>
        <v>3</v>
      </c>
      <c r="AT71" s="117">
        <f t="shared" si="51"/>
        <v>3</v>
      </c>
      <c r="AU71" s="117">
        <f t="shared" si="51"/>
        <v>3</v>
      </c>
    </row>
    <row r="72" spans="2:48" x14ac:dyDescent="0.25">
      <c r="B72" s="202" t="s">
        <v>239</v>
      </c>
      <c r="C72" s="136" t="s">
        <v>191</v>
      </c>
      <c r="F72" s="117">
        <f t="shared" ref="F72:Q73" si="54">ROUNDUP(F22/F48,)</f>
        <v>3</v>
      </c>
      <c r="G72" s="117">
        <f t="shared" si="54"/>
        <v>3</v>
      </c>
      <c r="H72" s="117">
        <f t="shared" si="54"/>
        <v>3</v>
      </c>
      <c r="I72" s="117">
        <f t="shared" si="54"/>
        <v>3</v>
      </c>
      <c r="J72" s="117">
        <f t="shared" si="54"/>
        <v>3</v>
      </c>
      <c r="K72" s="117">
        <f t="shared" si="54"/>
        <v>3</v>
      </c>
      <c r="L72" s="117">
        <f t="shared" si="54"/>
        <v>3</v>
      </c>
      <c r="M72" s="117">
        <f t="shared" si="54"/>
        <v>3</v>
      </c>
      <c r="N72" s="117">
        <f t="shared" si="54"/>
        <v>3</v>
      </c>
      <c r="O72" s="117">
        <f t="shared" si="54"/>
        <v>3</v>
      </c>
      <c r="P72" s="117">
        <f t="shared" si="54"/>
        <v>2</v>
      </c>
      <c r="Q72" s="117">
        <f t="shared" si="54"/>
        <v>2</v>
      </c>
      <c r="R72" s="179"/>
      <c r="AI72" s="179"/>
      <c r="AJ72" s="157">
        <v>2</v>
      </c>
      <c r="AK72" s="157">
        <v>2</v>
      </c>
      <c r="AL72" s="157">
        <v>2</v>
      </c>
      <c r="AM72" s="157">
        <v>2</v>
      </c>
      <c r="AN72" s="157">
        <v>2</v>
      </c>
      <c r="AO72" s="117">
        <f t="shared" ref="AO72:AS72" si="55">ROUNDDOWN(AO22/AO48,)</f>
        <v>1</v>
      </c>
      <c r="AP72" s="117">
        <f t="shared" si="55"/>
        <v>1</v>
      </c>
      <c r="AQ72" s="117">
        <f t="shared" si="55"/>
        <v>1</v>
      </c>
      <c r="AR72" s="117">
        <f t="shared" si="55"/>
        <v>1</v>
      </c>
      <c r="AS72" s="117">
        <f t="shared" si="55"/>
        <v>1</v>
      </c>
      <c r="AT72" s="117">
        <f>ROUNDUP(AT22/AT48,)</f>
        <v>2</v>
      </c>
      <c r="AU72" s="117">
        <f>ROUNDUP(AU22/AU48,)</f>
        <v>1</v>
      </c>
    </row>
    <row r="73" spans="2:48" x14ac:dyDescent="0.25">
      <c r="B73" s="202" t="s">
        <v>239</v>
      </c>
      <c r="C73" s="136" t="s">
        <v>190</v>
      </c>
      <c r="F73" s="117">
        <f t="shared" si="54"/>
        <v>3</v>
      </c>
      <c r="G73" s="117">
        <f t="shared" si="54"/>
        <v>3</v>
      </c>
      <c r="H73" s="117">
        <f t="shared" si="54"/>
        <v>3</v>
      </c>
      <c r="I73" s="117">
        <f t="shared" si="54"/>
        <v>3</v>
      </c>
      <c r="J73" s="117">
        <f t="shared" si="54"/>
        <v>3</v>
      </c>
      <c r="K73" s="117">
        <f t="shared" si="54"/>
        <v>3</v>
      </c>
      <c r="L73" s="117">
        <f t="shared" si="54"/>
        <v>3</v>
      </c>
      <c r="M73" s="117">
        <f t="shared" si="54"/>
        <v>3</v>
      </c>
      <c r="N73" s="117">
        <f t="shared" si="54"/>
        <v>3</v>
      </c>
      <c r="O73" s="117">
        <f t="shared" si="54"/>
        <v>3</v>
      </c>
      <c r="P73" s="117">
        <f t="shared" si="54"/>
        <v>3</v>
      </c>
      <c r="Q73" s="117">
        <f t="shared" si="54"/>
        <v>3</v>
      </c>
      <c r="R73" s="179"/>
      <c r="AI73" s="179"/>
      <c r="AJ73" s="157">
        <v>2</v>
      </c>
      <c r="AK73" s="157">
        <v>2</v>
      </c>
      <c r="AL73" s="203">
        <v>1.1000000000000001</v>
      </c>
      <c r="AM73" s="157">
        <v>1</v>
      </c>
      <c r="AN73" s="157">
        <v>1</v>
      </c>
      <c r="AO73" s="117">
        <f>ROUNDUP(AO23/AO49,)</f>
        <v>1</v>
      </c>
      <c r="AP73" s="117">
        <f>ROUNDUP(AP23/AP49,)</f>
        <v>1</v>
      </c>
      <c r="AQ73" s="117">
        <f>ROUNDUP(AQ23/AQ49,)</f>
        <v>1</v>
      </c>
      <c r="AR73" s="117">
        <f>ROUNDUP(AR23/AR49,)</f>
        <v>1</v>
      </c>
      <c r="AS73" s="117">
        <f>ROUNDUP(AS23/AS49,)</f>
        <v>1</v>
      </c>
      <c r="AT73" s="117">
        <f>ROUNDUP(AT23/AT49,)</f>
        <v>1</v>
      </c>
      <c r="AU73" s="117">
        <f>ROUNDUP(AU23/AU49,)</f>
        <v>1</v>
      </c>
    </row>
    <row r="74" spans="2:48" x14ac:dyDescent="0.25">
      <c r="AJ74" s="173"/>
      <c r="AK74" s="173"/>
      <c r="AL74" s="173"/>
      <c r="AM74" s="173"/>
    </row>
  </sheetData>
  <mergeCells count="2">
    <mergeCell ref="B1:B2"/>
    <mergeCell ref="S1:S2"/>
  </mergeCells>
  <conditionalFormatting sqref="A1:E1 A2 C2:E2 A3:E5 F5:R5 AI5:BI5">
    <cfRule type="cellIs" dxfId="12" priority="11" operator="equal">
      <formula>0</formula>
    </cfRule>
  </conditionalFormatting>
  <conditionalFormatting sqref="B47">
    <cfRule type="duplicateValues" dxfId="11" priority="9"/>
  </conditionalFormatting>
  <conditionalFormatting sqref="B61:B62 B51 B53:B59">
    <cfRule type="duplicateValues" dxfId="10" priority="12"/>
  </conditionalFormatting>
  <conditionalFormatting sqref="B63">
    <cfRule type="duplicateValues" dxfId="9" priority="10"/>
  </conditionalFormatting>
  <conditionalFormatting sqref="B65:B67 B60">
    <cfRule type="duplicateValues" dxfId="8" priority="13"/>
  </conditionalFormatting>
  <conditionalFormatting sqref="B40:B41">
    <cfRule type="duplicateValues" dxfId="7" priority="8"/>
  </conditionalFormatting>
  <conditionalFormatting sqref="S1 S3:S5">
    <cfRule type="cellIs" dxfId="6" priority="7" operator="equal">
      <formula>0</formula>
    </cfRule>
  </conditionalFormatting>
  <conditionalFormatting sqref="T1:V5">
    <cfRule type="cellIs" dxfId="5" priority="4" operator="equal">
      <formula>0</formula>
    </cfRule>
  </conditionalFormatting>
  <conditionalFormatting sqref="T63 T59">
    <cfRule type="duplicateValues" dxfId="4" priority="5"/>
  </conditionalFormatting>
  <conditionalFormatting sqref="T61:T62 T53:T58">
    <cfRule type="duplicateValues" dxfId="3" priority="6"/>
  </conditionalFormatting>
  <conditionalFormatting sqref="W5:AH5">
    <cfRule type="cellIs" dxfId="2" priority="3" operator="equal">
      <formula>0</formula>
    </cfRule>
  </conditionalFormatting>
  <conditionalFormatting sqref="B52">
    <cfRule type="duplicateValues" dxfId="1" priority="2"/>
  </conditionalFormatting>
  <conditionalFormatting sqref="T5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Выручка ПГК</vt:lpstr>
      <vt:lpstr>ОТВ.</vt:lpstr>
      <vt:lpstr>Численность директ_2905</vt:lpstr>
    </vt:vector>
  </TitlesOfParts>
  <Company>SberAuto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Кушнаренко Иван Андреевич</dc:creator>
  <cp:lastModifiedBy>Кушнаренко Иван Андреевич</cp:lastModifiedBy>
  <dcterms:created xsi:type="dcterms:W3CDTF">2026-06-22T08:01:49Z</dcterms:created>
  <dcterms:modified xsi:type="dcterms:W3CDTF">2026-06-23T11:28:16Z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" linkTarget="Prop_Tax">
    <vt:lpwstr>#ССЫЛКА!</vt:lpwstr>
  </property>
</Properties>
</file>