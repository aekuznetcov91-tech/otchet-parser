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Города и Бренды" sheetId="1" state="visible" r:id="rId1"/>
    <sheet xmlns:r="http://schemas.openxmlformats.org/officeDocument/2006/relationships" name="Дилеры и партнеры РТ" sheetId="2" state="visible" r:id="rId2"/>
    <sheet xmlns:r="http://schemas.openxmlformats.org/officeDocument/2006/relationships" name="Реестр сделок (129 авто)" sheetId="3" state="visible" r:id="rId3"/>
  </sheets>
  <definedNames>
    <definedName name="_xlnm._FilterDatabase" localSheetId="1" hidden="1">'Дилеры и партнеры РТ'!$A$1:$I$7</definedName>
    <definedName name="_xlnm._FilterDatabase" localSheetId="2" hidden="1">'Реестр сделок (129 авто)'!$A$1:$O$130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₽"/>
    <numFmt numFmtId="166" formatCode="#,##0.00 ₽"/>
  </numFmts>
  <fonts count="8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1A365D"/>
      <sz val="15"/>
    </font>
    <font>
      <name val="Calibri"/>
      <b val="1"/>
      <color rgb="0064748B"/>
      <sz val="9"/>
    </font>
    <font>
      <name val="Calibri"/>
      <b val="1"/>
      <color rgb="001A365D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1B4D3E"/>
        <bgColor rgb="001B4D3E"/>
      </patternFill>
    </fill>
    <fill>
      <patternFill patternType="solid">
        <fgColor rgb="002D3748"/>
        <bgColor rgb="002D374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166" fontId="6" fillId="5" borderId="2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5" customWidth="1" min="7" max="7"/>
    <col width="15" customWidth="1" min="8" max="8"/>
    <col width="18" customWidth="1" min="9" max="9"/>
    <col width="15" customWidth="1" min="10" max="10"/>
    <col width="16" customWidth="1" min="11" max="11"/>
    <col width="16" customWidth="1" min="12" max="12"/>
  </cols>
  <sheetData>
    <row r="1">
      <c r="A1" s="1" t="inlineStr">
        <is>
          <t>ПРОДАЖИ ЧЕРЕЗ СБЕРАВТО В РЕСПУБЛИКЕ ТАТАРСТАН — АВГУСТ 2026 ГОДА</t>
        </is>
      </c>
    </row>
    <row r="3">
      <c r="B3" s="2" t="inlineStr">
        <is>
          <t>129 шт.</t>
        </is>
      </c>
      <c r="D3" s="2" t="inlineStr">
        <is>
          <t>364 114 429 ₽</t>
        </is>
      </c>
      <c r="F3" s="2" t="inlineStr">
        <is>
          <t>2 822 592 ₽</t>
        </is>
      </c>
      <c r="H3" s="2" t="inlineStr">
        <is>
          <t>5 137 569 ₽</t>
        </is>
      </c>
    </row>
    <row r="4">
      <c r="B4" s="3" t="inlineStr">
        <is>
          <t>ВСЕГО ПРОДАЖ (АВТО)</t>
        </is>
      </c>
      <c r="D4" s="3" t="inlineStr">
        <is>
          <t>ОБЪЕМ ПРОДАЖ (GMV)</t>
        </is>
      </c>
      <c r="F4" s="3" t="inlineStr">
        <is>
          <t>СРЕДНИЙ ЧЕК АВТОМОБИЛЯ</t>
        </is>
      </c>
      <c r="H4" s="3" t="inlineStr">
        <is>
          <t>ВЫРУЧКА СБЕРАВТО (БЕЗ НДС)</t>
        </is>
      </c>
    </row>
    <row r="6">
      <c r="A6" s="4" t="inlineStr">
        <is>
          <t>1. Матрица продаж: Города × Бренды (шт.)</t>
        </is>
      </c>
    </row>
    <row r="8">
      <c r="A8" s="5" t="inlineStr">
        <is>
          <t>Город</t>
        </is>
      </c>
      <c r="B8" s="5" t="inlineStr">
        <is>
          <t>JETOUR</t>
        </is>
      </c>
      <c r="C8" s="5" t="inlineStr">
        <is>
          <t>SOLARIS</t>
        </is>
      </c>
      <c r="D8" s="5" t="inlineStr">
        <is>
          <t>GAC</t>
        </is>
      </c>
      <c r="E8" s="5" t="inlineStr">
        <is>
          <t>Geely &amp; Belgee</t>
        </is>
      </c>
      <c r="F8" s="5" t="inlineStr">
        <is>
          <t>CHERY &amp; TENET</t>
        </is>
      </c>
      <c r="G8" s="5" t="inlineStr">
        <is>
          <t>SOUEAST</t>
        </is>
      </c>
      <c r="H8" s="5" t="inlineStr">
        <is>
          <t>LADA</t>
        </is>
      </c>
      <c r="I8" s="5" t="inlineStr">
        <is>
          <t>OMODA &amp; JAECOO</t>
        </is>
      </c>
      <c r="J8" s="5" t="inlineStr">
        <is>
          <t>MINI</t>
        </is>
      </c>
      <c r="K8" s="5" t="inlineStr">
        <is>
          <t>ИТОГО</t>
        </is>
      </c>
      <c r="L8" s="5" t="inlineStr">
        <is>
          <t>Доля города, %</t>
        </is>
      </c>
    </row>
    <row r="9">
      <c r="A9" s="6" t="inlineStr">
        <is>
          <t>Казань</t>
        </is>
      </c>
      <c r="B9" s="7" t="n">
        <v>45</v>
      </c>
      <c r="C9" s="8" t="n">
        <v>0</v>
      </c>
      <c r="D9" s="7" t="n">
        <v>9</v>
      </c>
      <c r="E9" s="7" t="n">
        <v>1</v>
      </c>
      <c r="F9" s="7" t="n">
        <v>1</v>
      </c>
      <c r="G9" s="7" t="n">
        <v>3</v>
      </c>
      <c r="H9" s="7" t="n">
        <v>2</v>
      </c>
      <c r="I9" s="8" t="n">
        <v>0</v>
      </c>
      <c r="J9" s="8" t="n">
        <v>0</v>
      </c>
      <c r="K9" s="7">
        <f>SUM(B9:J9)</f>
        <v/>
      </c>
      <c r="L9" s="9">
        <f>K9/$K$14</f>
        <v/>
      </c>
    </row>
    <row r="10">
      <c r="A10" s="10" t="inlineStr">
        <is>
          <t>Набережные Челны</t>
        </is>
      </c>
      <c r="B10" s="11" t="n">
        <v>26</v>
      </c>
      <c r="C10" s="11" t="n">
        <v>7</v>
      </c>
      <c r="D10" s="11" t="n">
        <v>5</v>
      </c>
      <c r="E10" s="11" t="n">
        <v>4</v>
      </c>
      <c r="F10" s="11" t="n">
        <v>2</v>
      </c>
      <c r="G10" s="12" t="n">
        <v>0</v>
      </c>
      <c r="H10" s="11" t="n">
        <v>1</v>
      </c>
      <c r="I10" s="11" t="n">
        <v>1</v>
      </c>
      <c r="J10" s="12" t="n">
        <v>0</v>
      </c>
      <c r="K10" s="11">
        <f>SUM(B10:J10)</f>
        <v/>
      </c>
      <c r="L10" s="13">
        <f>K10/$K$14</f>
        <v/>
      </c>
    </row>
    <row r="11">
      <c r="A11" s="6" t="inlineStr">
        <is>
          <t>Альметьевск</t>
        </is>
      </c>
      <c r="B11" s="8" t="n">
        <v>0</v>
      </c>
      <c r="C11" s="7" t="n">
        <v>14</v>
      </c>
      <c r="D11" s="8" t="n">
        <v>0</v>
      </c>
      <c r="E11" s="7" t="n">
        <v>1</v>
      </c>
      <c r="F11" s="8" t="n">
        <v>0</v>
      </c>
      <c r="G11" s="8" t="n">
        <v>0</v>
      </c>
      <c r="H11" s="8" t="n">
        <v>0</v>
      </c>
      <c r="I11" s="8" t="n">
        <v>0</v>
      </c>
      <c r="J11" s="7" t="n">
        <v>1</v>
      </c>
      <c r="K11" s="7">
        <f>SUM(B11:J11)</f>
        <v/>
      </c>
      <c r="L11" s="9">
        <f>K11/$K$14</f>
        <v/>
      </c>
    </row>
    <row r="12">
      <c r="A12" s="10" t="inlineStr">
        <is>
          <t>Нижнекамск</t>
        </is>
      </c>
      <c r="B12" s="11" t="n">
        <v>3</v>
      </c>
      <c r="C12" s="11" t="n">
        <v>1</v>
      </c>
      <c r="D12" s="12" t="n">
        <v>0</v>
      </c>
      <c r="E12" s="12" t="n">
        <v>0</v>
      </c>
      <c r="F12" s="11" t="n">
        <v>1</v>
      </c>
      <c r="G12" s="12" t="n">
        <v>0</v>
      </c>
      <c r="H12" s="12" t="n">
        <v>0</v>
      </c>
      <c r="I12" s="12" t="n">
        <v>0</v>
      </c>
      <c r="J12" s="12" t="n">
        <v>0</v>
      </c>
      <c r="K12" s="11">
        <f>SUM(B12:J12)</f>
        <v/>
      </c>
      <c r="L12" s="13">
        <f>K12/$K$14</f>
        <v/>
      </c>
    </row>
    <row r="13">
      <c r="A13" s="6" t="inlineStr">
        <is>
          <t>Бугульма</t>
        </is>
      </c>
      <c r="B13" s="7" t="n">
        <v>1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7">
        <f>SUM(B13:J13)</f>
        <v/>
      </c>
      <c r="L13" s="9">
        <f>K13/$K$14</f>
        <v/>
      </c>
    </row>
    <row r="14">
      <c r="A14" s="14" t="inlineStr">
        <is>
          <t>ИТОГО ПО РЕГИОНУ</t>
        </is>
      </c>
      <c r="B14" s="15">
        <f>SUM(B9:B13)</f>
        <v/>
      </c>
      <c r="C14" s="15">
        <f>SUM(C9:C13)</f>
        <v/>
      </c>
      <c r="D14" s="15">
        <f>SUM(D9:D13)</f>
        <v/>
      </c>
      <c r="E14" s="15">
        <f>SUM(E9:E13)</f>
        <v/>
      </c>
      <c r="F14" s="15">
        <f>SUM(F9:F13)</f>
        <v/>
      </c>
      <c r="G14" s="15">
        <f>SUM(G9:G13)</f>
        <v/>
      </c>
      <c r="H14" s="15">
        <f>SUM(H9:H13)</f>
        <v/>
      </c>
      <c r="I14" s="15">
        <f>SUM(I9:I13)</f>
        <v/>
      </c>
      <c r="J14" s="15">
        <f>SUM(J9:J13)</f>
        <v/>
      </c>
      <c r="K14" s="15">
        <f>SUM(K9:K13)</f>
        <v/>
      </c>
      <c r="L14" s="16">
        <f>SUM(L9:L13)</f>
        <v/>
      </c>
    </row>
    <row r="16">
      <c r="A16" s="4" t="inlineStr">
        <is>
          <t>2. Финансовые показатели продаж по городам Татарстана</t>
        </is>
      </c>
    </row>
    <row r="17">
      <c r="A17" s="17" t="inlineStr">
        <is>
          <t>Город</t>
        </is>
      </c>
      <c r="B17" s="17" t="inlineStr">
        <is>
          <t>Продажи, шт.</t>
        </is>
      </c>
      <c r="C17" s="17" t="inlineStr">
        <is>
          <t>Доля продаж, %</t>
        </is>
      </c>
      <c r="D17" s="17" t="inlineStr">
        <is>
          <t>Объем продаж (GMV, ₽)</t>
        </is>
      </c>
      <c r="E17" s="17" t="inlineStr">
        <is>
          <t>Средний чек (₽)</t>
        </is>
      </c>
      <c r="F17" s="17" t="inlineStr">
        <is>
          <t>Комиссия СберАвто (₽)</t>
        </is>
      </c>
      <c r="G17" s="17" t="inlineStr">
        <is>
          <t>Выручка без НДС (₽)</t>
        </is>
      </c>
      <c r="H17" s="17" t="inlineStr">
        <is>
          <t>Топ-бренд города</t>
        </is>
      </c>
    </row>
    <row r="18">
      <c r="A18" s="18" t="inlineStr">
        <is>
          <t>Казань</t>
        </is>
      </c>
      <c r="B18" s="19" t="n">
        <v>61</v>
      </c>
      <c r="C18" s="20">
        <f>B18/$B$23</f>
        <v/>
      </c>
      <c r="D18" s="21" t="n">
        <v>175642000</v>
      </c>
      <c r="E18" s="21" t="n">
        <v>2879377.049180328</v>
      </c>
      <c r="F18" s="22" t="n">
        <v>3116055</v>
      </c>
      <c r="G18" s="22" t="n">
        <v>2554143.39</v>
      </c>
      <c r="H18" s="18" t="inlineStr">
        <is>
          <t>JETOUR (45 шт., 74%)</t>
        </is>
      </c>
    </row>
    <row r="19">
      <c r="A19" s="23" t="inlineStr">
        <is>
          <t>Набережные Челны</t>
        </is>
      </c>
      <c r="B19" s="24" t="n">
        <v>46</v>
      </c>
      <c r="C19" s="25">
        <f>B19/$B$23</f>
        <v/>
      </c>
      <c r="D19" s="26" t="n">
        <v>128889839</v>
      </c>
      <c r="E19" s="26" t="n">
        <v>2801953.02173913</v>
      </c>
      <c r="F19" s="27" t="n">
        <v>2206686.74</v>
      </c>
      <c r="G19" s="27" t="n">
        <v>1808759.63</v>
      </c>
      <c r="H19" s="23" t="inlineStr">
        <is>
          <t>JETOUR (26 шт., 57%)</t>
        </is>
      </c>
    </row>
    <row r="20">
      <c r="A20" s="18" t="inlineStr">
        <is>
          <t>Альметьевск</t>
        </is>
      </c>
      <c r="B20" s="19" t="n">
        <v>16</v>
      </c>
      <c r="C20" s="20">
        <f>B20/$B$23</f>
        <v/>
      </c>
      <c r="D20" s="21" t="n">
        <v>44594790</v>
      </c>
      <c r="E20" s="21" t="n">
        <v>2787174.375</v>
      </c>
      <c r="F20" s="22" t="n">
        <v>669011.85</v>
      </c>
      <c r="G20" s="22" t="n">
        <v>548370.39</v>
      </c>
      <c r="H20" s="18" t="inlineStr">
        <is>
          <t>SOLARIS (14 шт., 88%)</t>
        </is>
      </c>
    </row>
    <row r="21">
      <c r="A21" s="23" t="inlineStr">
        <is>
          <t>Нижнекамск</t>
        </is>
      </c>
      <c r="B21" s="24" t="n">
        <v>5</v>
      </c>
      <c r="C21" s="25">
        <f>B21/$B$23</f>
        <v/>
      </c>
      <c r="D21" s="26" t="n">
        <v>12887800</v>
      </c>
      <c r="E21" s="26" t="n">
        <v>2577560</v>
      </c>
      <c r="F21" s="27" t="n">
        <v>244581</v>
      </c>
      <c r="G21" s="27" t="n">
        <v>200476.23</v>
      </c>
      <c r="H21" s="23" t="inlineStr">
        <is>
          <t>JETOUR (3 шт., 60%)</t>
        </is>
      </c>
    </row>
    <row r="22">
      <c r="A22" s="18" t="inlineStr">
        <is>
          <t>Бугульма</t>
        </is>
      </c>
      <c r="B22" s="19" t="n">
        <v>1</v>
      </c>
      <c r="C22" s="20">
        <f>B22/$B$23</f>
        <v/>
      </c>
      <c r="D22" s="21" t="n">
        <v>2100000</v>
      </c>
      <c r="E22" s="21" t="n">
        <v>2100000</v>
      </c>
      <c r="F22" s="22" t="n">
        <v>31500</v>
      </c>
      <c r="G22" s="22" t="n">
        <v>25819.67</v>
      </c>
      <c r="H22" s="18" t="inlineStr">
        <is>
          <t>JETOUR (1 шт., 100%)</t>
        </is>
      </c>
    </row>
    <row r="23">
      <c r="A23" s="14" t="inlineStr">
        <is>
          <t>ИТОГО</t>
        </is>
      </c>
      <c r="B23" s="15">
        <f>SUM(B18:B22)</f>
        <v/>
      </c>
      <c r="C23" s="16">
        <f>SUM(C18:C22)</f>
        <v/>
      </c>
      <c r="D23" s="28">
        <f>SUM(D18:D22)</f>
        <v/>
      </c>
      <c r="E23" s="28">
        <f>AVERAGE(E18:E22)</f>
        <v/>
      </c>
      <c r="F23" s="29">
        <f>SUM(F18:F22)</f>
        <v/>
      </c>
      <c r="G23" s="29">
        <f>SUM(G18:G22)</f>
        <v/>
      </c>
      <c r="H23" s="14" t="inlineStr">
        <is>
          <t>Весь регион</t>
        </is>
      </c>
    </row>
    <row r="25">
      <c r="A25" s="4" t="inlineStr">
        <is>
          <t>3. Рейтинг брендов в Татарстане (Август 2026)</t>
        </is>
      </c>
    </row>
    <row r="26">
      <c r="A26" s="30" t="inlineStr">
        <is>
          <t>Бренд</t>
        </is>
      </c>
      <c r="B26" s="30" t="inlineStr">
        <is>
          <t>Продажи, шт.</t>
        </is>
      </c>
      <c r="C26" s="30" t="inlineStr">
        <is>
          <t>Доля рынка, %</t>
        </is>
      </c>
      <c r="D26" s="30" t="inlineStr">
        <is>
          <t>Объем продаж (GMV, ₽)</t>
        </is>
      </c>
      <c r="E26" s="30" t="inlineStr">
        <is>
          <t>Средний чек (₽)</t>
        </is>
      </c>
      <c r="F26" s="30" t="inlineStr">
        <is>
          <t>Выручка СберАвто (₽)</t>
        </is>
      </c>
      <c r="G26" s="30" t="inlineStr">
        <is>
          <t>Популярные модели в регионе</t>
        </is>
      </c>
    </row>
    <row r="27">
      <c r="A27" s="23" t="inlineStr">
        <is>
          <t>JETOUR</t>
        </is>
      </c>
      <c r="B27" s="24" t="n">
        <v>75</v>
      </c>
      <c r="C27" s="25">
        <f>B27/$B$36</f>
        <v/>
      </c>
      <c r="D27" s="26" t="n">
        <v>186483199</v>
      </c>
      <c r="E27" s="26" t="n">
        <v>2486442.653333333</v>
      </c>
      <c r="F27" s="27" t="n">
        <v>2825911.35</v>
      </c>
      <c r="G27" s="23" t="inlineStr">
        <is>
          <t>Dashing (36), X70 Plus (21), T2 (5), X90 Plus (4)</t>
        </is>
      </c>
    </row>
    <row r="28">
      <c r="A28" s="18" t="inlineStr">
        <is>
          <t>SOLARIS</t>
        </is>
      </c>
      <c r="B28" s="19" t="n">
        <v>22</v>
      </c>
      <c r="C28" s="20">
        <f>B28/$B$36</f>
        <v/>
      </c>
      <c r="D28" s="21" t="n">
        <v>65013250</v>
      </c>
      <c r="E28" s="21" t="n">
        <v>2955147.727272727</v>
      </c>
      <c r="F28" s="22" t="n">
        <v>883271.3200000001</v>
      </c>
      <c r="G28" s="18" t="inlineStr">
        <is>
          <t>Solaris HC (20), KRS / KRX (2)</t>
        </is>
      </c>
    </row>
    <row r="29">
      <c r="A29" s="23" t="inlineStr">
        <is>
          <t>GAC</t>
        </is>
      </c>
      <c r="B29" s="24" t="n">
        <v>14</v>
      </c>
      <c r="C29" s="25">
        <f>B29/$B$36</f>
        <v/>
      </c>
      <c r="D29" s="26" t="n">
        <v>64175000</v>
      </c>
      <c r="E29" s="26" t="n">
        <v>4583928.571428572</v>
      </c>
      <c r="F29" s="27" t="n">
        <v>789036.89</v>
      </c>
      <c r="G29" s="23" t="inlineStr">
        <is>
          <t>GS8 (9), GS4 (2), S7 (2), S9 (1)</t>
        </is>
      </c>
    </row>
    <row r="30">
      <c r="A30" s="18" t="inlineStr">
        <is>
          <t>Geely &amp; Belgee</t>
        </is>
      </c>
      <c r="B30" s="19" t="n">
        <v>6</v>
      </c>
      <c r="C30" s="20">
        <f>B30/$B$36</f>
        <v/>
      </c>
      <c r="D30" s="21" t="n">
        <v>22151980</v>
      </c>
      <c r="E30" s="21" t="n">
        <v>3691996.666666667</v>
      </c>
      <c r="F30" s="22" t="n">
        <v>272360.41</v>
      </c>
      <c r="G30" s="18" t="inlineStr">
        <is>
          <t>Geely Monjaro (3), Cityray (2), Belgee X50 (1)</t>
        </is>
      </c>
    </row>
    <row r="31">
      <c r="A31" s="23" t="inlineStr">
        <is>
          <t>CHERY &amp; TENET</t>
        </is>
      </c>
      <c r="B31" s="24" t="n">
        <v>4</v>
      </c>
      <c r="C31" s="25">
        <f>B31/$B$36</f>
        <v/>
      </c>
      <c r="D31" s="26" t="n">
        <v>10412000</v>
      </c>
      <c r="E31" s="26" t="n">
        <v>2603000</v>
      </c>
      <c r="F31" s="27" t="n">
        <v>128016.4</v>
      </c>
      <c r="G31" s="23" t="inlineStr">
        <is>
          <t>TENET T7 (3), TENET T4 (1)</t>
        </is>
      </c>
    </row>
    <row r="32">
      <c r="A32" s="18" t="inlineStr">
        <is>
          <t>LADA</t>
        </is>
      </c>
      <c r="B32" s="19" t="n">
        <v>3</v>
      </c>
      <c r="C32" s="20">
        <f>B32/$B$36</f>
        <v/>
      </c>
      <c r="D32" s="21" t="n">
        <v>4431000</v>
      </c>
      <c r="E32" s="21" t="n">
        <v>1477000</v>
      </c>
      <c r="F32" s="22" t="n">
        <v>76210.66</v>
      </c>
      <c r="G32" s="18" t="inlineStr">
        <is>
          <t>Granta (2), Vesta (1)</t>
        </is>
      </c>
    </row>
    <row r="33">
      <c r="A33" s="23" t="inlineStr">
        <is>
          <t>SOUEAST</t>
        </is>
      </c>
      <c r="B33" s="24" t="n">
        <v>3</v>
      </c>
      <c r="C33" s="25">
        <f>B33/$B$36</f>
        <v/>
      </c>
      <c r="D33" s="26" t="n">
        <v>7970000</v>
      </c>
      <c r="E33" s="26" t="n">
        <v>2656666.666666667</v>
      </c>
      <c r="F33" s="27" t="n">
        <v>119999.99</v>
      </c>
      <c r="G33" s="23" t="inlineStr">
        <is>
          <t>Soueast S06 (3)</t>
        </is>
      </c>
    </row>
    <row r="34">
      <c r="A34" s="18" t="inlineStr">
        <is>
          <t>MINI</t>
        </is>
      </c>
      <c r="B34" s="19" t="n">
        <v>1</v>
      </c>
      <c r="C34" s="20">
        <f>B34/$B$36</f>
        <v/>
      </c>
      <c r="D34" s="21" t="n">
        <v>540000</v>
      </c>
      <c r="E34" s="21" t="n">
        <v>540000</v>
      </c>
      <c r="F34" s="22" t="n">
        <v>6639.34</v>
      </c>
      <c r="G34" s="18" t="inlineStr">
        <is>
          <t>Mini One (1)</t>
        </is>
      </c>
    </row>
    <row r="35">
      <c r="A35" s="23" t="inlineStr">
        <is>
          <t>OMODA &amp; JAECOO</t>
        </is>
      </c>
      <c r="B35" s="24" t="n">
        <v>1</v>
      </c>
      <c r="C35" s="25">
        <f>B35/$B$36</f>
        <v/>
      </c>
      <c r="D35" s="26" t="n">
        <v>2938000</v>
      </c>
      <c r="E35" s="26" t="n">
        <v>2938000</v>
      </c>
      <c r="F35" s="27" t="n">
        <v>36122.95</v>
      </c>
      <c r="G35" s="23" t="inlineStr">
        <is>
          <t>Jaecoo J7 (1)</t>
        </is>
      </c>
    </row>
    <row r="36">
      <c r="A36" s="14" t="inlineStr">
        <is>
          <t>ИТОГО</t>
        </is>
      </c>
      <c r="B36" s="15">
        <f>SUM(B27:B35)</f>
        <v/>
      </c>
      <c r="C36" s="16">
        <f>SUM(C27:C35)</f>
        <v/>
      </c>
      <c r="D36" s="28">
        <f>SUM(D27:D35)</f>
        <v/>
      </c>
      <c r="E36" s="28">
        <f>AVERAGE(E27:E35)</f>
        <v/>
      </c>
      <c r="F36" s="29">
        <f>SUM(F27:F35)</f>
        <v/>
      </c>
      <c r="G36" s="14" t="inlineStr">
        <is>
          <t>9 брендов</t>
        </is>
      </c>
    </row>
  </sheetData>
  <mergeCells count="9">
    <mergeCell ref="F3:G3"/>
    <mergeCell ref="F4:G4"/>
    <mergeCell ref="B3:C3"/>
    <mergeCell ref="A1:I1"/>
    <mergeCell ref="D4:E4"/>
    <mergeCell ref="H4:I4"/>
    <mergeCell ref="D3:E3"/>
    <mergeCell ref="B4:C4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0" customWidth="1" min="2" max="2"/>
    <col width="32" customWidth="1" min="3" max="3"/>
    <col width="16" customWidth="1" min="4" max="4"/>
    <col width="18" customWidth="1" min="5" max="5"/>
    <col width="24" customWidth="1" min="6" max="6"/>
    <col width="22" customWidth="1" min="7" max="7"/>
    <col width="32" customWidth="1" min="8" max="8"/>
    <col width="45" customWidth="1" min="9" max="9"/>
  </cols>
  <sheetData>
    <row r="1">
      <c r="A1" s="5" t="inlineStr">
        <is>
          <t>№</t>
        </is>
      </c>
      <c r="B1" s="5" t="inlineStr">
        <is>
          <t>Дилерский холдинг / Сеть</t>
        </is>
      </c>
      <c r="C1" s="5" t="inlineStr">
        <is>
          <t>Города присутствия</t>
        </is>
      </c>
      <c r="D1" s="5" t="inlineStr">
        <is>
          <t>Продажи, шт.</t>
        </is>
      </c>
      <c r="E1" s="5" t="inlineStr">
        <is>
          <t>Доля в регионе, %</t>
        </is>
      </c>
      <c r="F1" s="5" t="inlineStr">
        <is>
          <t>Объем продаж (GMV, ₽)</t>
        </is>
      </c>
      <c r="G1" s="5" t="inlineStr">
        <is>
          <t>Выручка СберАвто (₽)</t>
        </is>
      </c>
      <c r="H1" s="5" t="inlineStr">
        <is>
          <t>Проданные бренды</t>
        </is>
      </c>
      <c r="I1" s="5" t="inlineStr">
        <is>
          <t>Юридические лица / Названия в CRM</t>
        </is>
      </c>
    </row>
    <row r="2">
      <c r="A2" s="31" t="n">
        <v>1</v>
      </c>
      <c r="B2" s="18" t="inlineStr">
        <is>
          <t>ГК «Диалог Авто»</t>
        </is>
      </c>
      <c r="C2" s="18" t="inlineStr">
        <is>
          <t>Альметьевск, Бугульма, Казань, Набережные Челны, Нижнекамск</t>
        </is>
      </c>
      <c r="D2" s="19" t="n">
        <v>76</v>
      </c>
      <c r="E2" s="20">
        <f>D2/$D$8</f>
        <v/>
      </c>
      <c r="F2" s="21" t="n">
        <v>228014679</v>
      </c>
      <c r="G2" s="22" t="n">
        <v>2803409.98</v>
      </c>
      <c r="H2" s="18" t="inlineStr">
        <is>
          <t>CHERY &amp; TENET, GAC, Geely &amp; Belgee, JETOUR, MINI, OMODA &amp; JAECOO, SOLARIS, SOUEAST</t>
        </is>
      </c>
      <c r="I2" s="18" t="inlineStr">
        <is>
          <t>ONLINE ГК Диалог \ ООО Диалог Авто | ONLINE ДИАЛОГ А | ONLINE ООО "ДИАЛОГ АВТО" | Online ГК Диалог \ ООО "Управляющая компания Диалог"</t>
        </is>
      </c>
    </row>
    <row r="3">
      <c r="A3" s="32" t="n">
        <v>2</v>
      </c>
      <c r="B3" s="23" t="inlineStr">
        <is>
          <t>АО «Барс Авто»</t>
        </is>
      </c>
      <c r="C3" s="23" t="inlineStr">
        <is>
          <t>Казань</t>
        </is>
      </c>
      <c r="D3" s="24" t="n">
        <v>22</v>
      </c>
      <c r="E3" s="25">
        <f>D3/$D$8</f>
        <v/>
      </c>
      <c r="F3" s="26" t="n">
        <v>56742000</v>
      </c>
      <c r="G3" s="27" t="n">
        <v>988901.62</v>
      </c>
      <c r="H3" s="23" t="inlineStr">
        <is>
          <t>JETOUR, SOUEAST</t>
        </is>
      </c>
      <c r="I3" s="23" t="inlineStr">
        <is>
          <t>ONLINE АО "БАРС АВТО"</t>
        </is>
      </c>
    </row>
    <row r="4">
      <c r="A4" s="31" t="n">
        <v>3</v>
      </c>
      <c r="B4" s="18" t="inlineStr">
        <is>
          <t>ГК «Апельсин» / «Автосеть.РФ»</t>
        </is>
      </c>
      <c r="C4" s="18" t="inlineStr">
        <is>
          <t>Казань, Набережные Челны</t>
        </is>
      </c>
      <c r="D4" s="19" t="n">
        <v>19</v>
      </c>
      <c r="E4" s="20">
        <f>D4/$D$8</f>
        <v/>
      </c>
      <c r="F4" s="21" t="n">
        <v>49467950</v>
      </c>
      <c r="G4" s="22" t="n">
        <v>868490.4900000001</v>
      </c>
      <c r="H4" s="18" t="inlineStr">
        <is>
          <t>CHERY &amp; TENET, JETOUR, LADA, SOLARIS</t>
        </is>
      </c>
      <c r="I4" s="18" t="inlineStr">
        <is>
          <t>ONLINE Апельсин (ООО "АПЕЛЬСИН-ЧЕЛНЫ") | ГК Апельсин \ Челны-Авто Чери | ООО "СПЕКТР" ONLINE АВТОСЕТЬ РФ/Апельсин</t>
        </is>
      </c>
    </row>
    <row r="5">
      <c r="A5" s="32" t="n">
        <v>4</v>
      </c>
      <c r="B5" s="23" t="inlineStr">
        <is>
          <t>ГК «КАН АВТО»</t>
        </is>
      </c>
      <c r="C5" s="23" t="inlineStr">
        <is>
          <t>Казань</t>
        </is>
      </c>
      <c r="D5" s="24" t="n">
        <v>7</v>
      </c>
      <c r="E5" s="25">
        <f>D5/$D$8</f>
        <v/>
      </c>
      <c r="F5" s="26" t="n">
        <v>18504000</v>
      </c>
      <c r="G5" s="27" t="n">
        <v>294758.2</v>
      </c>
      <c r="H5" s="23" t="inlineStr">
        <is>
          <t>JETOUR, LADA, SOUEAST</t>
        </is>
      </c>
      <c r="I5" s="23" t="inlineStr">
        <is>
          <t>ООО "КАН АВТО-21" ONLINE | ООО "КАН АВТО-5" ONLINE</t>
        </is>
      </c>
    </row>
    <row r="6">
      <c r="A6" s="31" t="n">
        <v>5</v>
      </c>
      <c r="B6" s="18" t="inlineStr">
        <is>
          <t>ТД «Армада-Авто»</t>
        </is>
      </c>
      <c r="C6" s="18" t="inlineStr">
        <is>
          <t>Нижнекамск</t>
        </is>
      </c>
      <c r="D6" s="19" t="n">
        <v>4</v>
      </c>
      <c r="E6" s="20">
        <f>D6/$D$8</f>
        <v/>
      </c>
      <c r="F6" s="21" t="n">
        <v>10252800</v>
      </c>
      <c r="G6" s="22" t="n">
        <v>168078.69</v>
      </c>
      <c r="H6" s="18" t="inlineStr">
        <is>
          <t>JETOUR, SOLARIS</t>
        </is>
      </c>
      <c r="I6" s="18" t="inlineStr">
        <is>
          <t>ONLINE ООО "ТД АРМАДА-АВТО" | ООО "АРМАДА-АВТО" online</t>
        </is>
      </c>
    </row>
    <row r="7">
      <c r="A7" s="32" t="n">
        <v>6</v>
      </c>
      <c r="B7" s="23" t="inlineStr">
        <is>
          <t>ООО «Парус»</t>
        </is>
      </c>
      <c r="C7" s="23" t="inlineStr">
        <is>
          <t>Казань</t>
        </is>
      </c>
      <c r="D7" s="24" t="n">
        <v>1</v>
      </c>
      <c r="E7" s="25">
        <f>D7/$D$8</f>
        <v/>
      </c>
      <c r="F7" s="26" t="n">
        <v>1133000</v>
      </c>
      <c r="G7" s="27" t="n">
        <v>13930.33</v>
      </c>
      <c r="H7" s="23" t="inlineStr">
        <is>
          <t>LADA</t>
        </is>
      </c>
      <c r="I7" s="23" t="inlineStr">
        <is>
          <t>ООО "ПАРУС" online</t>
        </is>
      </c>
    </row>
    <row r="8">
      <c r="A8" s="33" t="inlineStr">
        <is>
          <t>ИТОГО</t>
        </is>
      </c>
      <c r="B8" s="14" t="inlineStr">
        <is>
          <t>Всего сетей: 6</t>
        </is>
      </c>
      <c r="C8" s="14" t="inlineStr">
        <is>
          <t>Весь Татарстан</t>
        </is>
      </c>
      <c r="D8" s="15">
        <f>SUM(D2:D7)</f>
        <v/>
      </c>
      <c r="E8" s="16">
        <f>SUM(E2:E7)</f>
        <v/>
      </c>
      <c r="F8" s="28">
        <f>SUM(F2:F7)</f>
        <v/>
      </c>
      <c r="G8" s="29">
        <f>SUM(G2:G7)</f>
        <v/>
      </c>
      <c r="H8" s="14" t="inlineStr">
        <is>
          <t>9 брендов</t>
        </is>
      </c>
      <c r="I8" s="14" t="inlineStr">
        <is>
          <t>13 дилерских центров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4" customWidth="1" min="2" max="2"/>
    <col width="14" customWidth="1" min="3" max="3"/>
    <col width="20" customWidth="1" min="4" max="4"/>
    <col width="18" customWidth="1" min="5" max="5"/>
    <col width="20" customWidth="1" min="6" max="6"/>
    <col width="22" customWidth="1" min="7" max="7"/>
    <col width="26" customWidth="1" min="8" max="8"/>
    <col width="35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22" customWidth="1" min="15" max="15"/>
  </cols>
  <sheetData>
    <row r="1">
      <c r="A1" s="30" t="inlineStr">
        <is>
          <t>№</t>
        </is>
      </c>
      <c r="B1" s="30" t="inlineStr">
        <is>
          <t>ID сделки</t>
        </is>
      </c>
      <c r="C1" s="30" t="inlineStr">
        <is>
          <t>Дата</t>
        </is>
      </c>
      <c r="D1" s="30" t="inlineStr">
        <is>
          <t>Город продажи</t>
        </is>
      </c>
      <c r="E1" s="30" t="inlineStr">
        <is>
          <t>Бренд</t>
        </is>
      </c>
      <c r="F1" s="30" t="inlineStr">
        <is>
          <t>Модель автомобиля</t>
        </is>
      </c>
      <c r="G1" s="30" t="inlineStr">
        <is>
          <t>VIN номер</t>
        </is>
      </c>
      <c r="H1" s="30" t="inlineStr">
        <is>
          <t>Дилерский холдинг</t>
        </is>
      </c>
      <c r="I1" s="30" t="inlineStr">
        <is>
          <t>Компания / Дилер в CRM</t>
        </is>
      </c>
      <c r="J1" s="30" t="inlineStr">
        <is>
          <t>Тип сделки (B2C)</t>
        </is>
      </c>
      <c r="K1" s="30" t="inlineStr">
        <is>
          <t>Стоимость авто (₽)</t>
        </is>
      </c>
      <c r="L1" s="30" t="inlineStr">
        <is>
          <t>Комиссия СберАвто (₽)</t>
        </is>
      </c>
      <c r="M1" s="30" t="inlineStr">
        <is>
          <t>Выручка без НДС (₽)</t>
        </is>
      </c>
      <c r="N1" s="30" t="inlineStr">
        <is>
          <t>Менеджер сделки</t>
        </is>
      </c>
      <c r="O1" s="30" t="inlineStr">
        <is>
          <t>Старший менеджер</t>
        </is>
      </c>
    </row>
    <row r="2">
      <c r="A2" s="31" t="n">
        <v>1</v>
      </c>
      <c r="B2" s="31" t="inlineStr">
        <is>
          <t>526592</t>
        </is>
      </c>
      <c r="C2" s="31" t="inlineStr">
        <is>
          <t>31.08.2026</t>
        </is>
      </c>
      <c r="D2" s="18" t="inlineStr">
        <is>
          <t>Альметьевск</t>
        </is>
      </c>
      <c r="E2" s="18" t="inlineStr">
        <is>
          <t>Geely &amp; Belgee</t>
        </is>
      </c>
      <c r="F2" s="18" t="inlineStr">
        <is>
          <t>BELGEE X50+</t>
        </is>
      </c>
      <c r="G2" s="31" t="inlineStr">
        <is>
          <t>Y4K8622Z2TB930261</t>
        </is>
      </c>
      <c r="H2" s="18" t="inlineStr">
        <is>
          <t>ГК «Диалог Авто»</t>
        </is>
      </c>
      <c r="I2" s="18" t="inlineStr">
        <is>
          <t>Online ГК Диалог \ ООО "Управляющая компания Диалог"</t>
        </is>
      </c>
      <c r="J2" s="18" t="inlineStr">
        <is>
          <t>МП2</t>
        </is>
      </c>
      <c r="K2" s="21" t="n">
        <v>2419990</v>
      </c>
      <c r="L2" s="22" t="n">
        <v>36299.85</v>
      </c>
      <c r="M2" s="22" t="n">
        <v>29753.98</v>
      </c>
      <c r="N2" s="18" t="inlineStr">
        <is>
          <t>Фокин Борис</t>
        </is>
      </c>
      <c r="O2" s="18" t="inlineStr">
        <is>
          <t>Гамаюнов Вячеслав</t>
        </is>
      </c>
    </row>
    <row r="3">
      <c r="A3" s="32" t="n">
        <v>2</v>
      </c>
      <c r="B3" s="32" t="inlineStr">
        <is>
          <t>535394</t>
        </is>
      </c>
      <c r="C3" s="32" t="inlineStr">
        <is>
          <t>31.08.2026</t>
        </is>
      </c>
      <c r="D3" s="23" t="inlineStr">
        <is>
          <t>Альметьевск</t>
        </is>
      </c>
      <c r="E3" s="23" t="inlineStr">
        <is>
          <t>MINI</t>
        </is>
      </c>
      <c r="F3" s="23" t="inlineStr">
        <is>
          <t>ONE</t>
        </is>
      </c>
      <c r="G3" s="32" t="inlineStr">
        <is>
          <t>WMWME31090TU04249</t>
        </is>
      </c>
      <c r="H3" s="23" t="inlineStr">
        <is>
          <t>ГК «Диалог Авто»</t>
        </is>
      </c>
      <c r="I3" s="23" t="inlineStr">
        <is>
          <t>ONLINE ООО "ДИАЛОГ АВТО"</t>
        </is>
      </c>
      <c r="J3" s="23" t="inlineStr">
        <is>
          <t>Передача лида</t>
        </is>
      </c>
      <c r="K3" s="26" t="n">
        <v>540000</v>
      </c>
      <c r="L3" s="27" t="n">
        <v>8100</v>
      </c>
      <c r="M3" s="27" t="n">
        <v>6639.34</v>
      </c>
      <c r="N3" s="23" t="inlineStr">
        <is>
          <t>Бадиев Анар</t>
        </is>
      </c>
      <c r="O3" s="23" t="inlineStr">
        <is>
          <t>Москот Владислав</t>
        </is>
      </c>
    </row>
    <row r="4">
      <c r="A4" s="31" t="n">
        <v>3</v>
      </c>
      <c r="B4" s="31" t="inlineStr">
        <is>
          <t>531848</t>
        </is>
      </c>
      <c r="C4" s="31" t="inlineStr">
        <is>
          <t>28.08.2026</t>
        </is>
      </c>
      <c r="D4" s="18" t="inlineStr">
        <is>
          <t>Альметьевск</t>
        </is>
      </c>
      <c r="E4" s="18" t="inlineStr">
        <is>
          <t>SOLARIS</t>
        </is>
      </c>
      <c r="F4" s="18" t="inlineStr">
        <is>
          <t>HC</t>
        </is>
      </c>
      <c r="G4" s="31" t="inlineStr">
        <is>
          <t>Z94PC815DSR066279</t>
        </is>
      </c>
      <c r="H4" s="18" t="inlineStr">
        <is>
          <t>ГК «Диалог Авто»</t>
        </is>
      </c>
      <c r="I4" s="18" t="inlineStr">
        <is>
          <t>ONLINE ГК Диалог \ ООО Диалог Авто</t>
        </is>
      </c>
      <c r="J4" s="18" t="inlineStr">
        <is>
          <t>МП2</t>
        </is>
      </c>
      <c r="K4" s="21" t="n">
        <v>3495000</v>
      </c>
      <c r="L4" s="22" t="n">
        <v>50235</v>
      </c>
      <c r="M4" s="22" t="n">
        <v>41176.23</v>
      </c>
      <c r="N4" s="18" t="inlineStr">
        <is>
          <t>Фокин Борис</t>
        </is>
      </c>
      <c r="O4" s="18" t="inlineStr">
        <is>
          <t>Гамаюнов Вячеслав</t>
        </is>
      </c>
    </row>
    <row r="5">
      <c r="A5" s="32" t="n">
        <v>4</v>
      </c>
      <c r="B5" s="32" t="inlineStr">
        <is>
          <t>536030</t>
        </is>
      </c>
      <c r="C5" s="32" t="inlineStr">
        <is>
          <t>31.08.2026</t>
        </is>
      </c>
      <c r="D5" s="23" t="inlineStr">
        <is>
          <t>Альметьевск</t>
        </is>
      </c>
      <c r="E5" s="23" t="inlineStr">
        <is>
          <t>SOLARIS</t>
        </is>
      </c>
      <c r="F5" s="23" t="inlineStr">
        <is>
          <t>HC</t>
        </is>
      </c>
      <c r="G5" s="32" t="inlineStr">
        <is>
          <t>Z94PC815DSR068268</t>
        </is>
      </c>
      <c r="H5" s="23" t="inlineStr">
        <is>
          <t>ГК «Диалог Авто»</t>
        </is>
      </c>
      <c r="I5" s="23" t="inlineStr">
        <is>
          <t>ONLINE ГК Диалог \ ООО Диалог Авто</t>
        </is>
      </c>
      <c r="J5" s="23" t="inlineStr">
        <is>
          <t>МП2</t>
        </is>
      </c>
      <c r="K5" s="26" t="n">
        <v>3375000</v>
      </c>
      <c r="L5" s="27" t="n">
        <v>50625</v>
      </c>
      <c r="M5" s="27" t="n">
        <v>41495.9</v>
      </c>
      <c r="N5" s="23" t="inlineStr">
        <is>
          <t>Фокин Борис</t>
        </is>
      </c>
      <c r="O5" s="23" t="inlineStr">
        <is>
          <t>Гамаюнов Вячеслав</t>
        </is>
      </c>
    </row>
    <row r="6">
      <c r="A6" s="31" t="n">
        <v>5</v>
      </c>
      <c r="B6" s="31" t="inlineStr">
        <is>
          <t>525404</t>
        </is>
      </c>
      <c r="C6" s="31" t="inlineStr">
        <is>
          <t>25.08.2026</t>
        </is>
      </c>
      <c r="D6" s="18" t="inlineStr">
        <is>
          <t>Альметьевск</t>
        </is>
      </c>
      <c r="E6" s="18" t="inlineStr">
        <is>
          <t>SOLARIS</t>
        </is>
      </c>
      <c r="F6" s="18" t="inlineStr">
        <is>
          <t>HC</t>
        </is>
      </c>
      <c r="G6" s="31" t="inlineStr">
        <is>
          <t>Z94PC815DSR070425</t>
        </is>
      </c>
      <c r="H6" s="18" t="inlineStr">
        <is>
          <t>ГК «Диалог Авто»</t>
        </is>
      </c>
      <c r="I6" s="18" t="inlineStr">
        <is>
          <t>ONLINE ООО "ДИАЛОГ АВТО"</t>
        </is>
      </c>
      <c r="J6" s="18" t="inlineStr">
        <is>
          <t>МП2</t>
        </is>
      </c>
      <c r="K6" s="21" t="n">
        <v>3315000</v>
      </c>
      <c r="L6" s="22" t="n">
        <v>49725</v>
      </c>
      <c r="M6" s="22" t="n">
        <v>40758.2</v>
      </c>
      <c r="N6" s="18" t="inlineStr">
        <is>
          <t>Фокин Борис</t>
        </is>
      </c>
      <c r="O6" s="18" t="inlineStr">
        <is>
          <t>Гамаюнов Вячеслав</t>
        </is>
      </c>
    </row>
    <row r="7">
      <c r="A7" s="32" t="n">
        <v>6</v>
      </c>
      <c r="B7" s="32" t="inlineStr">
        <is>
          <t>508540</t>
        </is>
      </c>
      <c r="C7" s="32" t="inlineStr">
        <is>
          <t>14.08.2026</t>
        </is>
      </c>
      <c r="D7" s="23" t="inlineStr">
        <is>
          <t>Альметьевск</t>
        </is>
      </c>
      <c r="E7" s="23" t="inlineStr">
        <is>
          <t>SOLARIS</t>
        </is>
      </c>
      <c r="F7" s="23" t="inlineStr">
        <is>
          <t>HС</t>
        </is>
      </c>
      <c r="G7" s="32" t="inlineStr">
        <is>
          <t>Z94PC815DSR069321</t>
        </is>
      </c>
      <c r="H7" s="23" t="inlineStr">
        <is>
          <t>ГК «Диалог Авто»</t>
        </is>
      </c>
      <c r="I7" s="23" t="inlineStr">
        <is>
          <t>ONLINE ГК Диалог \ ООО Диалог Авто</t>
        </is>
      </c>
      <c r="J7" s="23" t="inlineStr">
        <is>
          <t>МП2</t>
        </is>
      </c>
      <c r="K7" s="26" t="n">
        <v>3299000</v>
      </c>
      <c r="L7" s="27" t="n">
        <v>49485</v>
      </c>
      <c r="M7" s="27" t="n">
        <v>40561.48</v>
      </c>
      <c r="N7" s="23" t="inlineStr">
        <is>
          <t>Фокин Борис</t>
        </is>
      </c>
      <c r="O7" s="23" t="inlineStr">
        <is>
          <t>Гамаюнов Вячеслав</t>
        </is>
      </c>
    </row>
    <row r="8">
      <c r="A8" s="31" t="n">
        <v>7</v>
      </c>
      <c r="B8" s="31" t="inlineStr">
        <is>
          <t>525292</t>
        </is>
      </c>
      <c r="C8" s="31" t="inlineStr">
        <is>
          <t>25.08.2026</t>
        </is>
      </c>
      <c r="D8" s="18" t="inlineStr">
        <is>
          <t>Альметьевск</t>
        </is>
      </c>
      <c r="E8" s="18" t="inlineStr">
        <is>
          <t>SOLARIS</t>
        </is>
      </c>
      <c r="F8" s="18" t="inlineStr">
        <is>
          <t>HC</t>
        </is>
      </c>
      <c r="G8" s="31" t="inlineStr">
        <is>
          <t>Z94PC815BSR072911</t>
        </is>
      </c>
      <c r="H8" s="18" t="inlineStr">
        <is>
          <t>ГК «Диалог Авто»</t>
        </is>
      </c>
      <c r="I8" s="18" t="inlineStr">
        <is>
          <t>ONLINE ООО "ДИАЛОГ АВТО"</t>
        </is>
      </c>
      <c r="J8" s="18" t="inlineStr">
        <is>
          <t>МП2</t>
        </is>
      </c>
      <c r="K8" s="21" t="n">
        <v>3199000</v>
      </c>
      <c r="L8" s="22" t="n">
        <v>47985</v>
      </c>
      <c r="M8" s="22" t="n">
        <v>39331.97</v>
      </c>
      <c r="N8" s="18" t="inlineStr">
        <is>
          <t>Фокин Борис</t>
        </is>
      </c>
      <c r="O8" s="18" t="inlineStr">
        <is>
          <t>Гамаюнов Вячеслав</t>
        </is>
      </c>
    </row>
    <row r="9">
      <c r="A9" s="32" t="n">
        <v>8</v>
      </c>
      <c r="B9" s="32" t="inlineStr">
        <is>
          <t>524948</t>
        </is>
      </c>
      <c r="C9" s="32" t="inlineStr">
        <is>
          <t>25.08.2026</t>
        </is>
      </c>
      <c r="D9" s="23" t="inlineStr">
        <is>
          <t>Альметьевск</t>
        </is>
      </c>
      <c r="E9" s="23" t="inlineStr">
        <is>
          <t>SOLARIS</t>
        </is>
      </c>
      <c r="F9" s="23" t="inlineStr">
        <is>
          <t>HC</t>
        </is>
      </c>
      <c r="G9" s="32" t="inlineStr">
        <is>
          <t>Z94PC815DSR067347</t>
        </is>
      </c>
      <c r="H9" s="23" t="inlineStr">
        <is>
          <t>ГК «Диалог Авто»</t>
        </is>
      </c>
      <c r="I9" s="23" t="inlineStr">
        <is>
          <t>ONLINE ООО "ДИАЛОГ АВТО"</t>
        </is>
      </c>
      <c r="J9" s="23" t="inlineStr">
        <is>
          <t>МП2</t>
        </is>
      </c>
      <c r="K9" s="26" t="n">
        <v>3194000</v>
      </c>
      <c r="L9" s="27" t="n">
        <v>47910</v>
      </c>
      <c r="M9" s="27" t="n">
        <v>39270.49</v>
      </c>
      <c r="N9" s="23" t="inlineStr">
        <is>
          <t>Фокин Борис</t>
        </is>
      </c>
      <c r="O9" s="23" t="inlineStr">
        <is>
          <t>Гамаюнов Вячеслав</t>
        </is>
      </c>
    </row>
    <row r="10">
      <c r="A10" s="31" t="n">
        <v>9</v>
      </c>
      <c r="B10" s="31" t="inlineStr">
        <is>
          <t>526130</t>
        </is>
      </c>
      <c r="C10" s="31" t="inlineStr">
        <is>
          <t>25.08.2026</t>
        </is>
      </c>
      <c r="D10" s="18" t="inlineStr">
        <is>
          <t>Альметьевск</t>
        </is>
      </c>
      <c r="E10" s="18" t="inlineStr">
        <is>
          <t>SOLARIS</t>
        </is>
      </c>
      <c r="F10" s="18" t="inlineStr">
        <is>
          <t>HC</t>
        </is>
      </c>
      <c r="G10" s="31" t="inlineStr">
        <is>
          <t>Z94PC815DSR067693</t>
        </is>
      </c>
      <c r="H10" s="18" t="inlineStr">
        <is>
          <t>ГК «Диалог Авто»</t>
        </is>
      </c>
      <c r="I10" s="18" t="inlineStr">
        <is>
          <t>ONLINE ООО "ДИАЛОГ АВТО"</t>
        </is>
      </c>
      <c r="J10" s="18" t="inlineStr">
        <is>
          <t>МП2</t>
        </is>
      </c>
      <c r="K10" s="21" t="n">
        <v>3126000</v>
      </c>
      <c r="L10" s="22" t="n">
        <v>46890</v>
      </c>
      <c r="M10" s="22" t="n">
        <v>38434.43</v>
      </c>
      <c r="N10" s="18" t="inlineStr">
        <is>
          <t>Фокин Борис</t>
        </is>
      </c>
      <c r="O10" s="18" t="inlineStr">
        <is>
          <t>Гамаюнов Вячеслав</t>
        </is>
      </c>
    </row>
    <row r="11">
      <c r="A11" s="32" t="n">
        <v>10</v>
      </c>
      <c r="B11" s="32" t="inlineStr">
        <is>
          <t>502356</t>
        </is>
      </c>
      <c r="C11" s="32" t="inlineStr">
        <is>
          <t>31.08.2026</t>
        </is>
      </c>
      <c r="D11" s="23" t="inlineStr">
        <is>
          <t>Альметьевск</t>
        </is>
      </c>
      <c r="E11" s="23" t="inlineStr">
        <is>
          <t>SOLARIS</t>
        </is>
      </c>
      <c r="F11" s="23" t="inlineStr">
        <is>
          <t>HC</t>
        </is>
      </c>
      <c r="G11" s="32" t="inlineStr">
        <is>
          <t>Z94PF815BSR061431</t>
        </is>
      </c>
      <c r="H11" s="23" t="inlineStr">
        <is>
          <t>ГК «Диалог Авто»</t>
        </is>
      </c>
      <c r="I11" s="23" t="inlineStr">
        <is>
          <t>ONLINE ООО "ДИАЛОГ АВТО"</t>
        </is>
      </c>
      <c r="J11" s="23" t="inlineStr">
        <is>
          <t>МП2</t>
        </is>
      </c>
      <c r="K11" s="26" t="n">
        <v>2930000</v>
      </c>
      <c r="L11" s="27" t="n">
        <v>43950</v>
      </c>
      <c r="M11" s="27" t="n">
        <v>36024.59</v>
      </c>
      <c r="N11" s="23" t="inlineStr">
        <is>
          <t>Фокин Борис</t>
        </is>
      </c>
      <c r="O11" s="23" t="inlineStr">
        <is>
          <t>Гамаюнов Вячеслав</t>
        </is>
      </c>
    </row>
    <row r="12">
      <c r="A12" s="31" t="n">
        <v>11</v>
      </c>
      <c r="B12" s="31" t="inlineStr">
        <is>
          <t>515732</t>
        </is>
      </c>
      <c r="C12" s="31" t="inlineStr">
        <is>
          <t>31.08.2026</t>
        </is>
      </c>
      <c r="D12" s="18" t="inlineStr">
        <is>
          <t>Альметьевск</t>
        </is>
      </c>
      <c r="E12" s="18" t="inlineStr">
        <is>
          <t>SOLARIS</t>
        </is>
      </c>
      <c r="F12" s="18" t="inlineStr">
        <is>
          <t>HC</t>
        </is>
      </c>
      <c r="G12" s="31" t="inlineStr">
        <is>
          <t>Z94PB814CSR067954</t>
        </is>
      </c>
      <c r="H12" s="18" t="inlineStr">
        <is>
          <t>ГК «Диалог Авто»</t>
        </is>
      </c>
      <c r="I12" s="18" t="inlineStr">
        <is>
          <t>ONLINE ООО "ДИАЛОГ АВТО"</t>
        </is>
      </c>
      <c r="J12" s="18" t="inlineStr">
        <is>
          <t>МП2</t>
        </is>
      </c>
      <c r="K12" s="21" t="n">
        <v>2880000</v>
      </c>
      <c r="L12" s="22" t="n">
        <v>43200</v>
      </c>
      <c r="M12" s="22" t="n">
        <v>35409.84</v>
      </c>
      <c r="N12" s="18" t="inlineStr">
        <is>
          <t>Фокин Борис</t>
        </is>
      </c>
      <c r="O12" s="18" t="inlineStr">
        <is>
          <t>Гамаюнов Вячеслав</t>
        </is>
      </c>
    </row>
    <row r="13">
      <c r="A13" s="32" t="n">
        <v>12</v>
      </c>
      <c r="B13" s="32" t="inlineStr">
        <is>
          <t>511742</t>
        </is>
      </c>
      <c r="C13" s="32" t="inlineStr">
        <is>
          <t>10.08.2026</t>
        </is>
      </c>
      <c r="D13" s="23" t="inlineStr">
        <is>
          <t>Альметьевск</t>
        </is>
      </c>
      <c r="E13" s="23" t="inlineStr">
        <is>
          <t>SOLARIS</t>
        </is>
      </c>
      <c r="F13" s="23" t="inlineStr">
        <is>
          <t>HC</t>
        </is>
      </c>
      <c r="G13" s="32" t="inlineStr">
        <is>
          <t>Z94PB814BSR071771</t>
        </is>
      </c>
      <c r="H13" s="23" t="inlineStr">
        <is>
          <t>ГК «Диалог Авто»</t>
        </is>
      </c>
      <c r="I13" s="23" t="inlineStr">
        <is>
          <t>ONLINE ГК Диалог \ ООО Диалог Авто</t>
        </is>
      </c>
      <c r="J13" s="23" t="inlineStr">
        <is>
          <t>МП2</t>
        </is>
      </c>
      <c r="K13" s="26" t="n">
        <v>2700000</v>
      </c>
      <c r="L13" s="27" t="n">
        <v>40500</v>
      </c>
      <c r="M13" s="27" t="n">
        <v>33196.72</v>
      </c>
      <c r="N13" s="23" t="inlineStr">
        <is>
          <t>Фокин Борис</t>
        </is>
      </c>
      <c r="O13" s="23" t="inlineStr">
        <is>
          <t>Гамаюнов Вячеслав</t>
        </is>
      </c>
    </row>
    <row r="14">
      <c r="A14" s="31" t="n">
        <v>13</v>
      </c>
      <c r="B14" s="31" t="inlineStr">
        <is>
          <t>512960</t>
        </is>
      </c>
      <c r="C14" s="31" t="inlineStr">
        <is>
          <t>31.08.2026</t>
        </is>
      </c>
      <c r="D14" s="18" t="inlineStr">
        <is>
          <t>Альметьевск</t>
        </is>
      </c>
      <c r="E14" s="18" t="inlineStr">
        <is>
          <t>SOLARIS</t>
        </is>
      </c>
      <c r="F14" s="18" t="inlineStr">
        <is>
          <t>HC</t>
        </is>
      </c>
      <c r="G14" s="31" t="inlineStr">
        <is>
          <t>Z94PB814BSR070334</t>
        </is>
      </c>
      <c r="H14" s="18" t="inlineStr">
        <is>
          <t>ГК «Диалог Авто»</t>
        </is>
      </c>
      <c r="I14" s="18" t="inlineStr">
        <is>
          <t>ONLINE ООО "ДИАЛОГ АВТО"</t>
        </is>
      </c>
      <c r="J14" s="18" t="inlineStr">
        <is>
          <t>МП2</t>
        </is>
      </c>
      <c r="K14" s="21" t="n">
        <v>2658000</v>
      </c>
      <c r="L14" s="22" t="n">
        <v>39870</v>
      </c>
      <c r="M14" s="22" t="n">
        <v>32680.33</v>
      </c>
      <c r="N14" s="18" t="inlineStr">
        <is>
          <t>Фокин Борис</t>
        </is>
      </c>
      <c r="O14" s="18" t="inlineStr">
        <is>
          <t>Гамаюнов Вячеслав</t>
        </is>
      </c>
    </row>
    <row r="15">
      <c r="A15" s="32" t="n">
        <v>14</v>
      </c>
      <c r="B15" s="32" t="inlineStr">
        <is>
          <t>507308</t>
        </is>
      </c>
      <c r="C15" s="32" t="inlineStr">
        <is>
          <t>04.08.2026</t>
        </is>
      </c>
      <c r="D15" s="23" t="inlineStr">
        <is>
          <t>Альметьевск</t>
        </is>
      </c>
      <c r="E15" s="23" t="inlineStr">
        <is>
          <t>SOLARIS</t>
        </is>
      </c>
      <c r="F15" s="23" t="inlineStr">
        <is>
          <t>НС</t>
        </is>
      </c>
      <c r="G15" s="32" t="inlineStr">
        <is>
          <t>Z94PB814ASR072079</t>
        </is>
      </c>
      <c r="H15" s="23" t="inlineStr">
        <is>
          <t>ГК «Диалог Авто»</t>
        </is>
      </c>
      <c r="I15" s="23" t="inlineStr">
        <is>
          <t>ONLINE ООО "ДИАЛОГ АВТО"</t>
        </is>
      </c>
      <c r="J15" s="23" t="inlineStr">
        <is>
          <t>МП2</t>
        </is>
      </c>
      <c r="K15" s="26" t="n">
        <v>2630800</v>
      </c>
      <c r="L15" s="27" t="n">
        <v>39462</v>
      </c>
      <c r="M15" s="27" t="n">
        <v>32345.9</v>
      </c>
      <c r="N15" s="23" t="inlineStr">
        <is>
          <t>Фокин Борис</t>
        </is>
      </c>
      <c r="O15" s="23" t="inlineStr">
        <is>
          <t>Гамаюнов Вячеслав</t>
        </is>
      </c>
    </row>
    <row r="16">
      <c r="A16" s="31" t="n">
        <v>15</v>
      </c>
      <c r="B16" s="31" t="inlineStr">
        <is>
          <t>511868</t>
        </is>
      </c>
      <c r="C16" s="31" t="inlineStr">
        <is>
          <t>12.08.2026</t>
        </is>
      </c>
      <c r="D16" s="18" t="inlineStr">
        <is>
          <t>Альметьевск</t>
        </is>
      </c>
      <c r="E16" s="18" t="inlineStr">
        <is>
          <t>SOLARIS</t>
        </is>
      </c>
      <c r="F16" s="18" t="inlineStr">
        <is>
          <t>HC</t>
        </is>
      </c>
      <c r="G16" s="31" t="inlineStr">
        <is>
          <t>Z94C341BBSR276028</t>
        </is>
      </c>
      <c r="H16" s="18" t="inlineStr">
        <is>
          <t>ГК «Диалог Авто»</t>
        </is>
      </c>
      <c r="I16" s="18" t="inlineStr">
        <is>
          <t>ONLINE ООО "ДИАЛОГ АВТО"</t>
        </is>
      </c>
      <c r="J16" s="18" t="inlineStr">
        <is>
          <t>МП2</t>
        </is>
      </c>
      <c r="K16" s="21" t="n">
        <v>2540000</v>
      </c>
      <c r="L16" s="22" t="n">
        <v>38100</v>
      </c>
      <c r="M16" s="22" t="n">
        <v>31229.51</v>
      </c>
      <c r="N16" s="18" t="inlineStr">
        <is>
          <t>Фокин Борис</t>
        </is>
      </c>
      <c r="O16" s="18" t="inlineStr">
        <is>
          <t>Гамаюнов Вячеслав</t>
        </is>
      </c>
    </row>
    <row r="17">
      <c r="A17" s="32" t="n">
        <v>16</v>
      </c>
      <c r="B17" s="32" t="inlineStr">
        <is>
          <t>506336</t>
        </is>
      </c>
      <c r="C17" s="32" t="inlineStr">
        <is>
          <t>31.08.2026</t>
        </is>
      </c>
      <c r="D17" s="23" t="inlineStr">
        <is>
          <t>Альметьевск</t>
        </is>
      </c>
      <c r="E17" s="23" t="inlineStr">
        <is>
          <t>SOLARIS</t>
        </is>
      </c>
      <c r="F17" s="23" t="inlineStr">
        <is>
          <t>KRS</t>
        </is>
      </c>
      <c r="G17" s="32" t="inlineStr">
        <is>
          <t>Z94C241BBSR276616</t>
        </is>
      </c>
      <c r="H17" s="23" t="inlineStr">
        <is>
          <t>ГК «Диалог Авто»</t>
        </is>
      </c>
      <c r="I17" s="23" t="inlineStr">
        <is>
          <t>ONLINE ООО "ДИАЛОГ АВТО"</t>
        </is>
      </c>
      <c r="J17" s="23" t="inlineStr">
        <is>
          <t>МП2</t>
        </is>
      </c>
      <c r="K17" s="26" t="n">
        <v>2293000</v>
      </c>
      <c r="L17" s="27" t="n">
        <v>36675</v>
      </c>
      <c r="M17" s="27" t="n">
        <v>30061.48</v>
      </c>
      <c r="N17" s="23" t="inlineStr">
        <is>
          <t>Фокин Борис</t>
        </is>
      </c>
      <c r="O17" s="23" t="inlineStr">
        <is>
          <t>Гамаюнов Вячеслав</t>
        </is>
      </c>
    </row>
    <row r="18">
      <c r="A18" s="31" t="n">
        <v>17</v>
      </c>
      <c r="B18" s="31" t="inlineStr">
        <is>
          <t>531678</t>
        </is>
      </c>
      <c r="C18" s="31" t="inlineStr">
        <is>
          <t>29.08.2026</t>
        </is>
      </c>
      <c r="D18" s="18" t="inlineStr">
        <is>
          <t>Бугульма</t>
        </is>
      </c>
      <c r="E18" s="18" t="inlineStr">
        <is>
          <t>JETOUR</t>
        </is>
      </c>
      <c r="F18" s="18" t="inlineStr">
        <is>
          <t>DASHING</t>
        </is>
      </c>
      <c r="G18" s="31" t="inlineStr">
        <is>
          <t>EC3DCUFD6TC014320</t>
        </is>
      </c>
      <c r="H18" s="18" t="inlineStr">
        <is>
          <t>ГК «Диалог Авто»</t>
        </is>
      </c>
      <c r="I18" s="18" t="inlineStr">
        <is>
          <t>Online ГК Диалог \ ООО "Управляющая компания Диалог"</t>
        </is>
      </c>
      <c r="J18" s="18" t="inlineStr">
        <is>
          <t>МП2</t>
        </is>
      </c>
      <c r="K18" s="21" t="n">
        <v>2100000</v>
      </c>
      <c r="L18" s="22" t="n">
        <v>31500</v>
      </c>
      <c r="M18" s="22" t="n">
        <v>25819.67</v>
      </c>
      <c r="N18" s="18" t="inlineStr">
        <is>
          <t>Фокин Борис</t>
        </is>
      </c>
      <c r="O18" s="18" t="inlineStr">
        <is>
          <t>Гамаюнов Вячеслав</t>
        </is>
      </c>
    </row>
    <row r="19">
      <c r="A19" s="32" t="n">
        <v>18</v>
      </c>
      <c r="B19" s="32" t="inlineStr">
        <is>
          <t>529510</t>
        </is>
      </c>
      <c r="C19" s="32" t="inlineStr">
        <is>
          <t>25.08.2026</t>
        </is>
      </c>
      <c r="D19" s="23" t="inlineStr">
        <is>
          <t>Казань</t>
        </is>
      </c>
      <c r="E19" s="23" t="inlineStr">
        <is>
          <t>CHERY &amp; TENET</t>
        </is>
      </c>
      <c r="F19" s="23" t="inlineStr">
        <is>
          <t>TENET Т7</t>
        </is>
      </c>
      <c r="G19" s="32" t="inlineStr">
        <is>
          <t>EDXFB32B6TE091320</t>
        </is>
      </c>
      <c r="H19" s="23" t="inlineStr">
        <is>
          <t>ГК «Диалог Авто»</t>
        </is>
      </c>
      <c r="I19" s="23" t="inlineStr">
        <is>
          <t>ONLINE ДИАЛОГ А</t>
        </is>
      </c>
      <c r="J19" s="23" t="inlineStr">
        <is>
          <t>Online</t>
        </is>
      </c>
      <c r="K19" s="26" t="n">
        <v>2613000</v>
      </c>
      <c r="L19" s="27" t="n">
        <v>39195</v>
      </c>
      <c r="M19" s="27" t="n">
        <v>32127.05</v>
      </c>
      <c r="N19" s="23" t="inlineStr">
        <is>
          <t>Воронин Ян</t>
        </is>
      </c>
      <c r="O19" s="23" t="inlineStr">
        <is>
          <t>Москот Владислав</t>
        </is>
      </c>
    </row>
    <row r="20">
      <c r="A20" s="31" t="n">
        <v>19</v>
      </c>
      <c r="B20" s="31" t="inlineStr">
        <is>
          <t>531220</t>
        </is>
      </c>
      <c r="C20" s="31" t="inlineStr">
        <is>
          <t>28.08.2026</t>
        </is>
      </c>
      <c r="D20" s="18" t="inlineStr">
        <is>
          <t>Казань</t>
        </is>
      </c>
      <c r="E20" s="18" t="inlineStr">
        <is>
          <t>GAC</t>
        </is>
      </c>
      <c r="F20" s="18" t="inlineStr">
        <is>
          <t>S7</t>
        </is>
      </c>
      <c r="G20" s="31" t="inlineStr">
        <is>
          <t>LMGNC3S89T1001805</t>
        </is>
      </c>
      <c r="H20" s="18" t="inlineStr">
        <is>
          <t>ГК «Диалог Авто»</t>
        </is>
      </c>
      <c r="I20" s="18" t="inlineStr">
        <is>
          <t>ONLINE ДИАЛОГ А</t>
        </is>
      </c>
      <c r="J20" s="18" t="inlineStr">
        <is>
          <t>МП2</t>
        </is>
      </c>
      <c r="K20" s="21" t="n">
        <v>5780000</v>
      </c>
      <c r="L20" s="22" t="n">
        <v>86700</v>
      </c>
      <c r="M20" s="22" t="n">
        <v>71065.57000000001</v>
      </c>
      <c r="N20" s="18" t="inlineStr">
        <is>
          <t>Фокин Борис</t>
        </is>
      </c>
      <c r="O20" s="18" t="inlineStr">
        <is>
          <t>Гамаюнов Вячеслав</t>
        </is>
      </c>
    </row>
    <row r="21">
      <c r="A21" s="32" t="n">
        <v>20</v>
      </c>
      <c r="B21" s="32" t="inlineStr">
        <is>
          <t>510974</t>
        </is>
      </c>
      <c r="C21" s="32" t="inlineStr">
        <is>
          <t>10.08.2026</t>
        </is>
      </c>
      <c r="D21" s="23" t="inlineStr">
        <is>
          <t>Казань</t>
        </is>
      </c>
      <c r="E21" s="23" t="inlineStr">
        <is>
          <t>GAC</t>
        </is>
      </c>
      <c r="F21" s="23" t="inlineStr">
        <is>
          <t>S7</t>
        </is>
      </c>
      <c r="G21" s="32" t="inlineStr">
        <is>
          <t>LMGNC3S82T1001158</t>
        </is>
      </c>
      <c r="H21" s="23" t="inlineStr">
        <is>
          <t>ГК «Диалог Авто»</t>
        </is>
      </c>
      <c r="I21" s="23" t="inlineStr">
        <is>
          <t>Online ГК Диалог \ ООО "Управляющая компания Диалог"</t>
        </is>
      </c>
      <c r="J21" s="23" t="inlineStr">
        <is>
          <t>МП2</t>
        </is>
      </c>
      <c r="K21" s="26" t="n">
        <v>5600000</v>
      </c>
      <c r="L21" s="27" t="n">
        <v>84000</v>
      </c>
      <c r="M21" s="27" t="n">
        <v>68852.46000000001</v>
      </c>
      <c r="N21" s="23" t="inlineStr">
        <is>
          <t>Фокин Борис</t>
        </is>
      </c>
      <c r="O21" s="23" t="inlineStr">
        <is>
          <t>Гамаюнов Вячеслав</t>
        </is>
      </c>
    </row>
    <row r="22">
      <c r="A22" s="31" t="n">
        <v>21</v>
      </c>
      <c r="B22" s="31" t="inlineStr">
        <is>
          <t>509040</t>
        </is>
      </c>
      <c r="C22" s="31" t="inlineStr">
        <is>
          <t>07.08.2026</t>
        </is>
      </c>
      <c r="D22" s="18" t="inlineStr">
        <is>
          <t>Казань</t>
        </is>
      </c>
      <c r="E22" s="18" t="inlineStr">
        <is>
          <t>GAC</t>
        </is>
      </c>
      <c r="F22" s="18" t="inlineStr">
        <is>
          <t>GS8</t>
        </is>
      </c>
      <c r="G22" s="31" t="inlineStr">
        <is>
          <t>LMGJU3G80T1066532</t>
        </is>
      </c>
      <c r="H22" s="18" t="inlineStr">
        <is>
          <t>ГК «Диалог Авто»</t>
        </is>
      </c>
      <c r="I22" s="18" t="inlineStr">
        <is>
          <t>ONLINE ДИАЛОГ А</t>
        </is>
      </c>
      <c r="J22" s="18" t="inlineStr">
        <is>
          <t>МП2</t>
        </is>
      </c>
      <c r="K22" s="21" t="n">
        <v>4670000</v>
      </c>
      <c r="L22" s="22" t="n">
        <v>70050</v>
      </c>
      <c r="M22" s="22" t="n">
        <v>57418.03</v>
      </c>
      <c r="N22" s="18" t="inlineStr">
        <is>
          <t>Не указан</t>
        </is>
      </c>
      <c r="O22" s="18" t="inlineStr">
        <is>
          <t>Без старшего</t>
        </is>
      </c>
    </row>
    <row r="23">
      <c r="A23" s="32" t="n">
        <v>22</v>
      </c>
      <c r="B23" s="32" t="inlineStr">
        <is>
          <t>516872</t>
        </is>
      </c>
      <c r="C23" s="32" t="inlineStr">
        <is>
          <t>15.08.2026</t>
        </is>
      </c>
      <c r="D23" s="23" t="inlineStr">
        <is>
          <t>Казань</t>
        </is>
      </c>
      <c r="E23" s="23" t="inlineStr">
        <is>
          <t>GAC</t>
        </is>
      </c>
      <c r="F23" s="23" t="inlineStr">
        <is>
          <t>GS8</t>
        </is>
      </c>
      <c r="G23" s="32" t="inlineStr">
        <is>
          <t>LMGJU3G8XT1063427</t>
        </is>
      </c>
      <c r="H23" s="23" t="inlineStr">
        <is>
          <t>ГК «Диалог Авто»</t>
        </is>
      </c>
      <c r="I23" s="23" t="inlineStr">
        <is>
          <t>ONLINE ДИАЛОГ А</t>
        </is>
      </c>
      <c r="J23" s="23" t="inlineStr">
        <is>
          <t>МП2</t>
        </is>
      </c>
      <c r="K23" s="26" t="n">
        <v>4665000</v>
      </c>
      <c r="L23" s="27" t="n">
        <v>69975</v>
      </c>
      <c r="M23" s="27" t="n">
        <v>57356.56</v>
      </c>
      <c r="N23" s="23" t="inlineStr">
        <is>
          <t>Фокин Борис</t>
        </is>
      </c>
      <c r="O23" s="23" t="inlineStr">
        <is>
          <t>Гамаюнов Вячеслав</t>
        </is>
      </c>
    </row>
    <row r="24">
      <c r="A24" s="31" t="n">
        <v>23</v>
      </c>
      <c r="B24" s="31" t="inlineStr">
        <is>
          <t>510774</t>
        </is>
      </c>
      <c r="C24" s="31" t="inlineStr">
        <is>
          <t>09.08.2026</t>
        </is>
      </c>
      <c r="D24" s="18" t="inlineStr">
        <is>
          <t>Казань</t>
        </is>
      </c>
      <c r="E24" s="18" t="inlineStr">
        <is>
          <t>GAC</t>
        </is>
      </c>
      <c r="F24" s="18" t="inlineStr">
        <is>
          <t>GS8</t>
        </is>
      </c>
      <c r="G24" s="31" t="inlineStr">
        <is>
          <t>LMGJU3G85T1063173</t>
        </is>
      </c>
      <c r="H24" s="18" t="inlineStr">
        <is>
          <t>ГК «Диалог Авто»</t>
        </is>
      </c>
      <c r="I24" s="18" t="inlineStr">
        <is>
          <t>ONLINE ДИАЛОГ А</t>
        </is>
      </c>
      <c r="J24" s="18" t="inlineStr">
        <is>
          <t>МП2</t>
        </is>
      </c>
      <c r="K24" s="21" t="n">
        <v>4650000</v>
      </c>
      <c r="L24" s="22" t="n">
        <v>69750</v>
      </c>
      <c r="M24" s="22" t="n">
        <v>57172.13</v>
      </c>
      <c r="N24" s="18" t="inlineStr">
        <is>
          <t>Фокин Борис</t>
        </is>
      </c>
      <c r="O24" s="18" t="inlineStr">
        <is>
          <t>Гамаюнов Вячеслав</t>
        </is>
      </c>
    </row>
    <row r="25">
      <c r="A25" s="32" t="n">
        <v>24</v>
      </c>
      <c r="B25" s="32" t="inlineStr">
        <is>
          <t>516808</t>
        </is>
      </c>
      <c r="C25" s="32" t="inlineStr">
        <is>
          <t>15.08.2026</t>
        </is>
      </c>
      <c r="D25" s="23" t="inlineStr">
        <is>
          <t>Казань</t>
        </is>
      </c>
      <c r="E25" s="23" t="inlineStr">
        <is>
          <t>GAC</t>
        </is>
      </c>
      <c r="F25" s="23" t="inlineStr">
        <is>
          <t>GS8</t>
        </is>
      </c>
      <c r="G25" s="32" t="inlineStr">
        <is>
          <t>LMGJU3G86T1063568</t>
        </is>
      </c>
      <c r="H25" s="23" t="inlineStr">
        <is>
          <t>ГК «Диалог Авто»</t>
        </is>
      </c>
      <c r="I25" s="23" t="inlineStr">
        <is>
          <t>ONLINE ДИАЛОГ А</t>
        </is>
      </c>
      <c r="J25" s="23" t="inlineStr">
        <is>
          <t>МП2</t>
        </is>
      </c>
      <c r="K25" s="26" t="n">
        <v>4280000</v>
      </c>
      <c r="L25" s="27" t="n">
        <v>64200</v>
      </c>
      <c r="M25" s="27" t="n">
        <v>52622.95</v>
      </c>
      <c r="N25" s="23" t="inlineStr">
        <is>
          <t>Фокин Борис</t>
        </is>
      </c>
      <c r="O25" s="23" t="inlineStr">
        <is>
          <t>Гамаюнов Вячеслав</t>
        </is>
      </c>
    </row>
    <row r="26">
      <c r="A26" s="31" t="n">
        <v>25</v>
      </c>
      <c r="B26" s="31" t="inlineStr">
        <is>
          <t>524504</t>
        </is>
      </c>
      <c r="C26" s="31" t="inlineStr">
        <is>
          <t>19.08.2026</t>
        </is>
      </c>
      <c r="D26" s="18" t="inlineStr">
        <is>
          <t>Казань</t>
        </is>
      </c>
      <c r="E26" s="18" t="inlineStr">
        <is>
          <t>GAC</t>
        </is>
      </c>
      <c r="F26" s="18" t="inlineStr">
        <is>
          <t>GS8 IIFL</t>
        </is>
      </c>
      <c r="G26" s="31" t="inlineStr">
        <is>
          <t>LMGJU3G86T1063036</t>
        </is>
      </c>
      <c r="H26" s="18" t="inlineStr">
        <is>
          <t>ГК «Диалог Авто»</t>
        </is>
      </c>
      <c r="I26" s="18" t="inlineStr">
        <is>
          <t>ONLINE ДИАЛОГ А</t>
        </is>
      </c>
      <c r="J26" s="18" t="inlineStr">
        <is>
          <t>МП2</t>
        </is>
      </c>
      <c r="K26" s="21" t="n">
        <v>4230000</v>
      </c>
      <c r="L26" s="22" t="n">
        <v>63450</v>
      </c>
      <c r="M26" s="22" t="n">
        <v>52008.2</v>
      </c>
      <c r="N26" s="18" t="inlineStr">
        <is>
          <t>Фокин Борис</t>
        </is>
      </c>
      <c r="O26" s="18" t="inlineStr">
        <is>
          <t>Гамаюнов Вячеслав</t>
        </is>
      </c>
    </row>
    <row r="27">
      <c r="A27" s="32" t="n">
        <v>26</v>
      </c>
      <c r="B27" s="32" t="inlineStr">
        <is>
          <t>508470</t>
        </is>
      </c>
      <c r="C27" s="32" t="inlineStr">
        <is>
          <t>06.08.2026</t>
        </is>
      </c>
      <c r="D27" s="23" t="inlineStr">
        <is>
          <t>Казань</t>
        </is>
      </c>
      <c r="E27" s="23" t="inlineStr">
        <is>
          <t>GAC</t>
        </is>
      </c>
      <c r="F27" s="23" t="inlineStr">
        <is>
          <t>GS4</t>
        </is>
      </c>
      <c r="G27" s="32" t="inlineStr">
        <is>
          <t>LMGAE3G82T1004580</t>
        </is>
      </c>
      <c r="H27" s="23" t="inlineStr">
        <is>
          <t>ГК «Диалог Авто»</t>
        </is>
      </c>
      <c r="I27" s="23" t="inlineStr">
        <is>
          <t>ONLINE ДИАЛОГ А</t>
        </is>
      </c>
      <c r="J27" s="23" t="inlineStr">
        <is>
          <t>МП2</t>
        </is>
      </c>
      <c r="K27" s="26" t="n">
        <v>3450000</v>
      </c>
      <c r="L27" s="27" t="n">
        <v>51750</v>
      </c>
      <c r="M27" s="27" t="n">
        <v>42418.03</v>
      </c>
      <c r="N27" s="23" t="inlineStr">
        <is>
          <t>Фокин Борис</t>
        </is>
      </c>
      <c r="O27" s="23" t="inlineStr">
        <is>
          <t>Гамаюнов Вячеслав</t>
        </is>
      </c>
    </row>
    <row r="28">
      <c r="A28" s="31" t="n">
        <v>27</v>
      </c>
      <c r="B28" s="31" t="inlineStr">
        <is>
          <t>508620</t>
        </is>
      </c>
      <c r="C28" s="31" t="inlineStr">
        <is>
          <t>07.08.2026</t>
        </is>
      </c>
      <c r="D28" s="18" t="inlineStr">
        <is>
          <t>Казань</t>
        </is>
      </c>
      <c r="E28" s="18" t="inlineStr">
        <is>
          <t>GAC</t>
        </is>
      </c>
      <c r="F28" s="18" t="inlineStr">
        <is>
          <t>GS4</t>
        </is>
      </c>
      <c r="G28" s="31" t="inlineStr">
        <is>
          <t>LMGAE3G8XS1003272</t>
        </is>
      </c>
      <c r="H28" s="18" t="inlineStr">
        <is>
          <t>ГК «Диалог Авто»</t>
        </is>
      </c>
      <c r="I28" s="18" t="inlineStr">
        <is>
          <t>ONLINE ДИАЛОГ А</t>
        </is>
      </c>
      <c r="J28" s="18" t="inlineStr">
        <is>
          <t>МП2</t>
        </is>
      </c>
      <c r="K28" s="21" t="n">
        <v>3400000</v>
      </c>
      <c r="L28" s="22" t="n">
        <v>51000</v>
      </c>
      <c r="M28" s="22" t="n">
        <v>41803.28</v>
      </c>
      <c r="N28" s="18" t="inlineStr">
        <is>
          <t>Фокин Борис</t>
        </is>
      </c>
      <c r="O28" s="18" t="inlineStr">
        <is>
          <t>Гамаюнов Вячеслав</t>
        </is>
      </c>
    </row>
    <row r="29">
      <c r="A29" s="32" t="n">
        <v>28</v>
      </c>
      <c r="B29" s="32" t="inlineStr">
        <is>
          <t>526500</t>
        </is>
      </c>
      <c r="C29" s="32" t="inlineStr">
        <is>
          <t>25.08.2026</t>
        </is>
      </c>
      <c r="D29" s="23" t="inlineStr">
        <is>
          <t>Казань</t>
        </is>
      </c>
      <c r="E29" s="23" t="inlineStr">
        <is>
          <t>Geely &amp; Belgee</t>
        </is>
      </c>
      <c r="F29" s="23" t="inlineStr">
        <is>
          <t>GEELY MONJARO</t>
        </is>
      </c>
      <c r="G29" s="32" t="inlineStr">
        <is>
          <t>LB37852D2TS063572</t>
        </is>
      </c>
      <c r="H29" s="23" t="inlineStr">
        <is>
          <t>ГК «Диалог Авто»</t>
        </is>
      </c>
      <c r="I29" s="23" t="inlineStr">
        <is>
          <t>ONLINE ДИАЛОГ А</t>
        </is>
      </c>
      <c r="J29" s="23" t="inlineStr">
        <is>
          <t>МП2</t>
        </is>
      </c>
      <c r="K29" s="26" t="n">
        <v>4450000</v>
      </c>
      <c r="L29" s="27" t="n">
        <v>66750</v>
      </c>
      <c r="M29" s="27" t="n">
        <v>54713.11</v>
      </c>
      <c r="N29" s="23" t="inlineStr">
        <is>
          <t>Фокин Борис</t>
        </is>
      </c>
      <c r="O29" s="23" t="inlineStr">
        <is>
          <t>Гамаюнов Вячеслав</t>
        </is>
      </c>
    </row>
    <row r="30">
      <c r="A30" s="31" t="n">
        <v>29</v>
      </c>
      <c r="B30" s="31" t="inlineStr">
        <is>
          <t>526596</t>
        </is>
      </c>
      <c r="C30" s="31" t="inlineStr">
        <is>
          <t>24.08.2026</t>
        </is>
      </c>
      <c r="D30" s="18" t="inlineStr">
        <is>
          <t>Казань</t>
        </is>
      </c>
      <c r="E30" s="18" t="inlineStr">
        <is>
          <t>JETOUR</t>
        </is>
      </c>
      <c r="F30" s="18" t="inlineStr">
        <is>
          <t>T2</t>
        </is>
      </c>
      <c r="G30" s="31" t="inlineStr">
        <is>
          <t>EC3TDUMA4T0004386</t>
        </is>
      </c>
      <c r="H30" s="18" t="inlineStr">
        <is>
          <t>ГК «Диалог Авто»</t>
        </is>
      </c>
      <c r="I30" s="18" t="inlineStr">
        <is>
          <t>ONLINE ДИАЛОГ А</t>
        </is>
      </c>
      <c r="J30" s="18" t="inlineStr">
        <is>
          <t>МП2</t>
        </is>
      </c>
      <c r="K30" s="21" t="n">
        <v>4280000</v>
      </c>
      <c r="L30" s="22" t="n">
        <v>64200</v>
      </c>
      <c r="M30" s="22" t="n">
        <v>52622.95</v>
      </c>
      <c r="N30" s="18" t="inlineStr">
        <is>
          <t>Фокин Борис</t>
        </is>
      </c>
      <c r="O30" s="18" t="inlineStr">
        <is>
          <t>Гамаюнов Вячеслав</t>
        </is>
      </c>
    </row>
    <row r="31">
      <c r="A31" s="32" t="n">
        <v>30</v>
      </c>
      <c r="B31" s="32" t="inlineStr">
        <is>
          <t>530254</t>
        </is>
      </c>
      <c r="C31" s="32" t="inlineStr">
        <is>
          <t>26.08.2026</t>
        </is>
      </c>
      <c r="D31" s="23" t="inlineStr">
        <is>
          <t>Казань</t>
        </is>
      </c>
      <c r="E31" s="23" t="inlineStr">
        <is>
          <t>JETOUR</t>
        </is>
      </c>
      <c r="F31" s="23" t="inlineStr">
        <is>
          <t>T2</t>
        </is>
      </c>
      <c r="G31" s="32" t="inlineStr">
        <is>
          <t>EC3TEUMB5T0002569</t>
        </is>
      </c>
      <c r="H31" s="23" t="inlineStr">
        <is>
          <t>ГК «Диалог Авто»</t>
        </is>
      </c>
      <c r="I31" s="23" t="inlineStr">
        <is>
          <t>ONLINE ДИАЛОГ А</t>
        </is>
      </c>
      <c r="J31" s="23" t="inlineStr">
        <is>
          <t>МП2</t>
        </is>
      </c>
      <c r="K31" s="26" t="n">
        <v>4070000</v>
      </c>
      <c r="L31" s="27" t="n">
        <v>61050</v>
      </c>
      <c r="M31" s="27" t="n">
        <v>50040.98</v>
      </c>
      <c r="N31" s="23" t="inlineStr">
        <is>
          <t>Фокин Борис</t>
        </is>
      </c>
      <c r="O31" s="23" t="inlineStr">
        <is>
          <t>Гамаюнов Вячеслав</t>
        </is>
      </c>
    </row>
    <row r="32">
      <c r="A32" s="31" t="n">
        <v>31</v>
      </c>
      <c r="B32" s="31" t="inlineStr">
        <is>
          <t>534748</t>
        </is>
      </c>
      <c r="C32" s="31" t="inlineStr">
        <is>
          <t>31.08.2026</t>
        </is>
      </c>
      <c r="D32" s="18" t="inlineStr">
        <is>
          <t>Казань</t>
        </is>
      </c>
      <c r="E32" s="18" t="inlineStr">
        <is>
          <t>JETOUR</t>
        </is>
      </c>
      <c r="F32" s="18" t="inlineStr">
        <is>
          <t>T2</t>
        </is>
      </c>
      <c r="G32" s="31" t="inlineStr">
        <is>
          <t>EC3TEUMB1T0003900</t>
        </is>
      </c>
      <c r="H32" s="18" t="inlineStr">
        <is>
          <t>АО «Барс Авто»</t>
        </is>
      </c>
      <c r="I32" s="18" t="inlineStr">
        <is>
          <t>ONLINE АО "БАРС АВТО"</t>
        </is>
      </c>
      <c r="J32" s="18" t="inlineStr">
        <is>
          <t>МП2</t>
        </is>
      </c>
      <c r="K32" s="21" t="n">
        <v>3790000</v>
      </c>
      <c r="L32" s="22" t="n">
        <v>147420</v>
      </c>
      <c r="M32" s="22" t="n">
        <v>120836.07</v>
      </c>
      <c r="N32" s="18" t="inlineStr">
        <is>
          <t>Фокин Борис</t>
        </is>
      </c>
      <c r="O32" s="18" t="inlineStr">
        <is>
          <t>Гамаюнов Вячеслав</t>
        </is>
      </c>
    </row>
    <row r="33">
      <c r="A33" s="32" t="n">
        <v>32</v>
      </c>
      <c r="B33" s="32" t="inlineStr">
        <is>
          <t>531000</t>
        </is>
      </c>
      <c r="C33" s="32" t="inlineStr">
        <is>
          <t>27.08.2026</t>
        </is>
      </c>
      <c r="D33" s="23" t="inlineStr">
        <is>
          <t>Казань</t>
        </is>
      </c>
      <c r="E33" s="23" t="inlineStr">
        <is>
          <t>JETOUR</t>
        </is>
      </c>
      <c r="F33" s="23" t="inlineStr">
        <is>
          <t>X90PLUS</t>
        </is>
      </c>
      <c r="G33" s="32" t="inlineStr">
        <is>
          <t>EC3SLU2A7T0000480</t>
        </is>
      </c>
      <c r="H33" s="23" t="inlineStr">
        <is>
          <t>АО «Барс Авто»</t>
        </is>
      </c>
      <c r="I33" s="23" t="inlineStr">
        <is>
          <t>ONLINE АО "БАРС АВТО"</t>
        </is>
      </c>
      <c r="J33" s="23" t="inlineStr">
        <is>
          <t>МП2</t>
        </is>
      </c>
      <c r="K33" s="26" t="n">
        <v>3750000</v>
      </c>
      <c r="L33" s="27" t="n">
        <v>75000</v>
      </c>
      <c r="M33" s="27" t="n">
        <v>61475.41</v>
      </c>
      <c r="N33" s="23" t="inlineStr">
        <is>
          <t>Фокин Борис</t>
        </is>
      </c>
      <c r="O33" s="23" t="inlineStr">
        <is>
          <t>Гамаюнов Вячеслав</t>
        </is>
      </c>
    </row>
    <row r="34">
      <c r="A34" s="31" t="n">
        <v>33</v>
      </c>
      <c r="B34" s="31" t="inlineStr">
        <is>
          <t>526304</t>
        </is>
      </c>
      <c r="C34" s="31" t="inlineStr">
        <is>
          <t>22.08.2026</t>
        </is>
      </c>
      <c r="D34" s="18" t="inlineStr">
        <is>
          <t>Казань</t>
        </is>
      </c>
      <c r="E34" s="18" t="inlineStr">
        <is>
          <t>JETOUR</t>
        </is>
      </c>
      <c r="F34" s="18" t="inlineStr">
        <is>
          <t>T2</t>
        </is>
      </c>
      <c r="G34" s="31" t="inlineStr">
        <is>
          <t>EC3TEUMB6T0003908</t>
        </is>
      </c>
      <c r="H34" s="18" t="inlineStr">
        <is>
          <t>ГК «КАН АВТО»</t>
        </is>
      </c>
      <c r="I34" s="18" t="inlineStr">
        <is>
          <t>ООО "КАН АВТО-5" ONLINE</t>
        </is>
      </c>
      <c r="J34" s="18" t="inlineStr">
        <is>
          <t>МП3</t>
        </is>
      </c>
      <c r="K34" s="21" t="n">
        <v>3740000</v>
      </c>
      <c r="L34" s="22" t="n">
        <v>74800</v>
      </c>
      <c r="M34" s="22" t="n">
        <v>61311.48</v>
      </c>
      <c r="N34" s="18" t="inlineStr">
        <is>
          <t>Воронин Алексей</t>
        </is>
      </c>
      <c r="O34" s="18" t="inlineStr">
        <is>
          <t>Восконян Алексей</t>
        </is>
      </c>
    </row>
    <row r="35">
      <c r="A35" s="32" t="n">
        <v>34</v>
      </c>
      <c r="B35" s="32" t="inlineStr">
        <is>
          <t>533174</t>
        </is>
      </c>
      <c r="C35" s="32" t="inlineStr">
        <is>
          <t>30.08.2026</t>
        </is>
      </c>
      <c r="D35" s="23" t="inlineStr">
        <is>
          <t>Казань</t>
        </is>
      </c>
      <c r="E35" s="23" t="inlineStr">
        <is>
          <t>JETOUR</t>
        </is>
      </c>
      <c r="F35" s="23" t="inlineStr">
        <is>
          <t>T1</t>
        </is>
      </c>
      <c r="G35" s="32" t="inlineStr">
        <is>
          <t>LVTDD24B3TDB86399</t>
        </is>
      </c>
      <c r="H35" s="23" t="inlineStr">
        <is>
          <t>ГК «Диалог Авто»</t>
        </is>
      </c>
      <c r="I35" s="23" t="inlineStr">
        <is>
          <t>ONLINE ДИАЛОГ А</t>
        </is>
      </c>
      <c r="J35" s="23" t="inlineStr">
        <is>
          <t>МП2</t>
        </is>
      </c>
      <c r="K35" s="26" t="n">
        <v>3720000</v>
      </c>
      <c r="L35" s="27" t="n">
        <v>55800</v>
      </c>
      <c r="M35" s="27" t="n">
        <v>45737.7</v>
      </c>
      <c r="N35" s="23" t="inlineStr">
        <is>
          <t>Фокин Борис</t>
        </is>
      </c>
      <c r="O35" s="23" t="inlineStr">
        <is>
          <t>Гамаюнов Вячеслав</t>
        </is>
      </c>
    </row>
    <row r="36">
      <c r="A36" s="31" t="n">
        <v>35</v>
      </c>
      <c r="B36" s="31" t="inlineStr">
        <is>
          <t>528536</t>
        </is>
      </c>
      <c r="C36" s="31" t="inlineStr">
        <is>
          <t>24.08.2026</t>
        </is>
      </c>
      <c r="D36" s="18" t="inlineStr">
        <is>
          <t>Казань</t>
        </is>
      </c>
      <c r="E36" s="18" t="inlineStr">
        <is>
          <t>JETOUR</t>
        </is>
      </c>
      <c r="F36" s="18" t="inlineStr">
        <is>
          <t>Т2</t>
        </is>
      </c>
      <c r="G36" s="31" t="inlineStr">
        <is>
          <t>EC3TEUMB7T0002671</t>
        </is>
      </c>
      <c r="H36" s="18" t="inlineStr">
        <is>
          <t>АО «Барс Авто»</t>
        </is>
      </c>
      <c r="I36" s="18" t="inlineStr">
        <is>
          <t>ONLINE АО "БАРС АВТО"</t>
        </is>
      </c>
      <c r="J36" s="18" t="inlineStr">
        <is>
          <t>МП2</t>
        </is>
      </c>
      <c r="K36" s="21" t="n">
        <v>3720000</v>
      </c>
      <c r="L36" s="22" t="n">
        <v>74400</v>
      </c>
      <c r="M36" s="22" t="n">
        <v>60983.61</v>
      </c>
      <c r="N36" s="18" t="inlineStr">
        <is>
          <t>Фокин Борис</t>
        </is>
      </c>
      <c r="O36" s="18" t="inlineStr">
        <is>
          <t>Гамаюнов Вячеслав</t>
        </is>
      </c>
    </row>
    <row r="37">
      <c r="A37" s="32" t="n">
        <v>36</v>
      </c>
      <c r="B37" s="32" t="inlineStr">
        <is>
          <t>518392</t>
        </is>
      </c>
      <c r="C37" s="32" t="inlineStr">
        <is>
          <t>18.08.2026</t>
        </is>
      </c>
      <c r="D37" s="23" t="inlineStr">
        <is>
          <t>Казань</t>
        </is>
      </c>
      <c r="E37" s="23" t="inlineStr">
        <is>
          <t>JETOUR</t>
        </is>
      </c>
      <c r="F37" s="23" t="inlineStr">
        <is>
          <t>T2</t>
        </is>
      </c>
      <c r="G37" s="32" t="inlineStr">
        <is>
          <t>EC3TEUMBXT0003720</t>
        </is>
      </c>
      <c r="H37" s="23" t="inlineStr">
        <is>
          <t>ГК «Диалог Авто»</t>
        </is>
      </c>
      <c r="I37" s="23" t="inlineStr">
        <is>
          <t>ONLINE ДИАЛОГ А</t>
        </is>
      </c>
      <c r="J37" s="23" t="inlineStr">
        <is>
          <t>МП2</t>
        </is>
      </c>
      <c r="K37" s="26" t="n">
        <v>3690000</v>
      </c>
      <c r="L37" s="27" t="n">
        <v>55350</v>
      </c>
      <c r="M37" s="27" t="n">
        <v>45368.85</v>
      </c>
      <c r="N37" s="23" t="inlineStr">
        <is>
          <t>Фокин Борис</t>
        </is>
      </c>
      <c r="O37" s="23" t="inlineStr">
        <is>
          <t>Гамаюнов Вячеслав</t>
        </is>
      </c>
    </row>
    <row r="38">
      <c r="A38" s="31" t="n">
        <v>37</v>
      </c>
      <c r="B38" s="31" t="inlineStr">
        <is>
          <t>506576</t>
        </is>
      </c>
      <c r="C38" s="31" t="inlineStr">
        <is>
          <t>03.08.2026</t>
        </is>
      </c>
      <c r="D38" s="18" t="inlineStr">
        <is>
          <t>Казань</t>
        </is>
      </c>
      <c r="E38" s="18" t="inlineStr">
        <is>
          <t>JETOUR</t>
        </is>
      </c>
      <c r="F38" s="18" t="inlineStr">
        <is>
          <t>Т2</t>
        </is>
      </c>
      <c r="G38" s="31" t="inlineStr">
        <is>
          <t>EC3TEUMB9T0003692</t>
        </is>
      </c>
      <c r="H38" s="18" t="inlineStr">
        <is>
          <t>АО «Барс Авто»</t>
        </is>
      </c>
      <c r="I38" s="18" t="inlineStr">
        <is>
          <t>ONLINE АО "БАРС АВТО"</t>
        </is>
      </c>
      <c r="J38" s="18" t="inlineStr">
        <is>
          <t>МП2</t>
        </is>
      </c>
      <c r="K38" s="21" t="n">
        <v>3690000</v>
      </c>
      <c r="L38" s="22" t="n">
        <v>73800</v>
      </c>
      <c r="M38" s="22" t="n">
        <v>60491.8</v>
      </c>
      <c r="N38" s="18" t="inlineStr">
        <is>
          <t>Фокин Борис</t>
        </is>
      </c>
      <c r="O38" s="18" t="inlineStr">
        <is>
          <t>Гамаюнов Вячеслав</t>
        </is>
      </c>
    </row>
    <row r="39">
      <c r="A39" s="32" t="n">
        <v>38</v>
      </c>
      <c r="B39" s="32" t="inlineStr">
        <is>
          <t>527040</t>
        </is>
      </c>
      <c r="C39" s="32" t="inlineStr">
        <is>
          <t>22.08.2026</t>
        </is>
      </c>
      <c r="D39" s="23" t="inlineStr">
        <is>
          <t>Казань</t>
        </is>
      </c>
      <c r="E39" s="23" t="inlineStr">
        <is>
          <t>JETOUR</t>
        </is>
      </c>
      <c r="F39" s="23" t="inlineStr">
        <is>
          <t>Т1</t>
        </is>
      </c>
      <c r="G39" s="32" t="inlineStr">
        <is>
          <t>LVTDD24BXTDB86755</t>
        </is>
      </c>
      <c r="H39" s="23" t="inlineStr">
        <is>
          <t>АО «Барс Авто»</t>
        </is>
      </c>
      <c r="I39" s="23" t="inlineStr">
        <is>
          <t>ONLINE АО "БАРС АВТО"</t>
        </is>
      </c>
      <c r="J39" s="23" t="inlineStr">
        <is>
          <t>МП2</t>
        </is>
      </c>
      <c r="K39" s="26" t="n">
        <v>3670000</v>
      </c>
      <c r="L39" s="27" t="n">
        <v>73400</v>
      </c>
      <c r="M39" s="27" t="n">
        <v>60163.93</v>
      </c>
      <c r="N39" s="23" t="inlineStr">
        <is>
          <t>Фокин Борис</t>
        </is>
      </c>
      <c r="O39" s="23" t="inlineStr">
        <is>
          <t>Гамаюнов Вячеслав</t>
        </is>
      </c>
    </row>
    <row r="40">
      <c r="A40" s="31" t="n">
        <v>39</v>
      </c>
      <c r="B40" s="31" t="inlineStr">
        <is>
          <t>524164</t>
        </is>
      </c>
      <c r="C40" s="31" t="inlineStr">
        <is>
          <t>26.08.2026</t>
        </is>
      </c>
      <c r="D40" s="18" t="inlineStr">
        <is>
          <t>Казань</t>
        </is>
      </c>
      <c r="E40" s="18" t="inlineStr">
        <is>
          <t>JETOUR</t>
        </is>
      </c>
      <c r="F40" s="18" t="inlineStr">
        <is>
          <t>T1</t>
        </is>
      </c>
      <c r="G40" s="31" t="inlineStr">
        <is>
          <t>LVTDD24B9TDB99593</t>
        </is>
      </c>
      <c r="H40" s="18" t="inlineStr">
        <is>
          <t>АО «Барс Авто»</t>
        </is>
      </c>
      <c r="I40" s="18" t="inlineStr">
        <is>
          <t>ONLINE АО "БАРС АВТО"</t>
        </is>
      </c>
      <c r="J40" s="18" t="inlineStr">
        <is>
          <t>МП2</t>
        </is>
      </c>
      <c r="K40" s="21" t="n">
        <v>3657000</v>
      </c>
      <c r="L40" s="22" t="n">
        <v>73140</v>
      </c>
      <c r="M40" s="22" t="n">
        <v>59950.82</v>
      </c>
      <c r="N40" s="18" t="inlineStr">
        <is>
          <t>Фокин Борис</t>
        </is>
      </c>
      <c r="O40" s="18" t="inlineStr">
        <is>
          <t>Гамаюнов Вячеслав</t>
        </is>
      </c>
    </row>
    <row r="41">
      <c r="A41" s="32" t="n">
        <v>40</v>
      </c>
      <c r="B41" s="32" t="inlineStr">
        <is>
          <t>527734</t>
        </is>
      </c>
      <c r="C41" s="32" t="inlineStr">
        <is>
          <t>31.08.2026</t>
        </is>
      </c>
      <c r="D41" s="23" t="inlineStr">
        <is>
          <t>Казань</t>
        </is>
      </c>
      <c r="E41" s="23" t="inlineStr">
        <is>
          <t>JETOUR</t>
        </is>
      </c>
      <c r="F41" s="23" t="inlineStr">
        <is>
          <t>Т2</t>
        </is>
      </c>
      <c r="G41" s="32" t="inlineStr">
        <is>
          <t>EC3TEUMB3T0002733</t>
        </is>
      </c>
      <c r="H41" s="23" t="inlineStr">
        <is>
          <t>ГК «КАН АВТО»</t>
        </is>
      </c>
      <c r="I41" s="23" t="inlineStr">
        <is>
          <t>ООО "КАН АВТО-5" ONLINE</t>
        </is>
      </c>
      <c r="J41" s="23" t="inlineStr">
        <is>
          <t>МП3</t>
        </is>
      </c>
      <c r="K41" s="26" t="n">
        <v>3549000</v>
      </c>
      <c r="L41" s="27" t="n">
        <v>70980</v>
      </c>
      <c r="M41" s="27" t="n">
        <v>58180.33</v>
      </c>
      <c r="N41" s="23" t="inlineStr">
        <is>
          <t>Фомичев Владислав</t>
        </is>
      </c>
      <c r="O41" s="23" t="inlineStr">
        <is>
          <t>Восконян Алексей</t>
        </is>
      </c>
    </row>
    <row r="42">
      <c r="A42" s="31" t="n">
        <v>41</v>
      </c>
      <c r="B42" s="31" t="inlineStr">
        <is>
          <t>511792</t>
        </is>
      </c>
      <c r="C42" s="31" t="inlineStr">
        <is>
          <t>16.08.2026</t>
        </is>
      </c>
      <c r="D42" s="18" t="inlineStr">
        <is>
          <t>Казань</t>
        </is>
      </c>
      <c r="E42" s="18" t="inlineStr">
        <is>
          <t>JETOUR</t>
        </is>
      </c>
      <c r="F42" s="18" t="inlineStr">
        <is>
          <t>X70 PLUS</t>
        </is>
      </c>
      <c r="G42" s="31" t="inlineStr">
        <is>
          <t>EC37LUSMXTC006448</t>
        </is>
      </c>
      <c r="H42" s="18" t="inlineStr">
        <is>
          <t>ГК «Апельсин» / «Автосеть.РФ»</t>
        </is>
      </c>
      <c r="I42" s="18" t="inlineStr">
        <is>
          <t>ООО "СПЕКТР" ONLINE АВТОСЕТЬ РФ/Апельсин</t>
        </is>
      </c>
      <c r="J42" s="18" t="inlineStr">
        <is>
          <t>ФДЦ</t>
        </is>
      </c>
      <c r="K42" s="21" t="n">
        <v>2460000</v>
      </c>
      <c r="L42" s="22" t="n">
        <v>49200</v>
      </c>
      <c r="M42" s="22" t="n">
        <v>40327.87</v>
      </c>
      <c r="N42" s="18" t="inlineStr">
        <is>
          <t>Фомичев Владислав</t>
        </is>
      </c>
      <c r="O42" s="18" t="inlineStr">
        <is>
          <t>Восконян Алексей</t>
        </is>
      </c>
    </row>
    <row r="43">
      <c r="A43" s="32" t="n">
        <v>42</v>
      </c>
      <c r="B43" s="32" t="inlineStr">
        <is>
          <t>532278</t>
        </is>
      </c>
      <c r="C43" s="32" t="inlineStr">
        <is>
          <t>28.08.2026</t>
        </is>
      </c>
      <c r="D43" s="23" t="inlineStr">
        <is>
          <t>Казань</t>
        </is>
      </c>
      <c r="E43" s="23" t="inlineStr">
        <is>
          <t>JETOUR</t>
        </is>
      </c>
      <c r="F43" s="23" t="inlineStr">
        <is>
          <t>DASHING</t>
        </is>
      </c>
      <c r="G43" s="32" t="inlineStr">
        <is>
          <t>EC3DLUFD4TC012968</t>
        </is>
      </c>
      <c r="H43" s="23" t="inlineStr">
        <is>
          <t>ГК «Диалог Авто»</t>
        </is>
      </c>
      <c r="I43" s="23" t="inlineStr">
        <is>
          <t>ONLINE ДИАЛОГ А</t>
        </is>
      </c>
      <c r="J43" s="23" t="inlineStr">
        <is>
          <t>МП2</t>
        </is>
      </c>
      <c r="K43" s="26" t="n">
        <v>2405000</v>
      </c>
      <c r="L43" s="27" t="n">
        <v>36075</v>
      </c>
      <c r="M43" s="27" t="n">
        <v>29569.67</v>
      </c>
      <c r="N43" s="23" t="inlineStr">
        <is>
          <t>Фокин Борис</t>
        </is>
      </c>
      <c r="O43" s="23" t="inlineStr">
        <is>
          <t>Гамаюнов Вячеслав</t>
        </is>
      </c>
    </row>
    <row r="44">
      <c r="A44" s="31" t="n">
        <v>43</v>
      </c>
      <c r="B44" s="31" t="inlineStr">
        <is>
          <t>518288</t>
        </is>
      </c>
      <c r="C44" s="31" t="inlineStr">
        <is>
          <t>16.08.2026</t>
        </is>
      </c>
      <c r="D44" s="18" t="inlineStr">
        <is>
          <t>Казань</t>
        </is>
      </c>
      <c r="E44" s="18" t="inlineStr">
        <is>
          <t>JETOUR</t>
        </is>
      </c>
      <c r="F44" s="18" t="inlineStr">
        <is>
          <t>DASHING</t>
        </is>
      </c>
      <c r="G44" s="31" t="inlineStr">
        <is>
          <t>EC3DLUFD0TC015110</t>
        </is>
      </c>
      <c r="H44" s="18" t="inlineStr">
        <is>
          <t>ГК «Диалог Авто»</t>
        </is>
      </c>
      <c r="I44" s="18" t="inlineStr">
        <is>
          <t>ONLINE ДИАЛОГ А</t>
        </is>
      </c>
      <c r="J44" s="18" t="inlineStr">
        <is>
          <t>МП2</t>
        </is>
      </c>
      <c r="K44" s="21" t="n">
        <v>2400000</v>
      </c>
      <c r="L44" s="22" t="n">
        <v>36000</v>
      </c>
      <c r="M44" s="22" t="n">
        <v>29508.2</v>
      </c>
      <c r="N44" s="18" t="inlineStr">
        <is>
          <t>Фокин Борис</t>
        </is>
      </c>
      <c r="O44" s="18" t="inlineStr">
        <is>
          <t>Гамаюнов Вячеслав</t>
        </is>
      </c>
    </row>
    <row r="45">
      <c r="A45" s="32" t="n">
        <v>44</v>
      </c>
      <c r="B45" s="32" t="inlineStr">
        <is>
          <t>531252</t>
        </is>
      </c>
      <c r="C45" s="32" t="inlineStr">
        <is>
          <t>27.08.2026</t>
        </is>
      </c>
      <c r="D45" s="23" t="inlineStr">
        <is>
          <t>Казань</t>
        </is>
      </c>
      <c r="E45" s="23" t="inlineStr">
        <is>
          <t>JETOUR</t>
        </is>
      </c>
      <c r="F45" s="23" t="inlineStr">
        <is>
          <t>Х70+</t>
        </is>
      </c>
      <c r="G45" s="32" t="inlineStr">
        <is>
          <t>EC37LUSM3TC006257</t>
        </is>
      </c>
      <c r="H45" s="23" t="inlineStr">
        <is>
          <t>ГК «КАН АВТО»</t>
        </is>
      </c>
      <c r="I45" s="23" t="inlineStr">
        <is>
          <t>ООО "КАН АВТО-5" ONLINE</t>
        </is>
      </c>
      <c r="J45" s="23" t="inlineStr">
        <is>
          <t>Online</t>
        </is>
      </c>
      <c r="K45" s="26" t="n">
        <v>2350000</v>
      </c>
      <c r="L45" s="27" t="n">
        <v>47000</v>
      </c>
      <c r="M45" s="27" t="n">
        <v>38524.59</v>
      </c>
      <c r="N45" s="23" t="inlineStr">
        <is>
          <t>Воронин Алексей</t>
        </is>
      </c>
      <c r="O45" s="23" t="inlineStr">
        <is>
          <t>Восконян Алексей</t>
        </is>
      </c>
    </row>
    <row r="46">
      <c r="A46" s="31" t="n">
        <v>45</v>
      </c>
      <c r="B46" s="31" t="inlineStr">
        <is>
          <t>509738</t>
        </is>
      </c>
      <c r="C46" s="31" t="inlineStr">
        <is>
          <t>07.08.2026</t>
        </is>
      </c>
      <c r="D46" s="18" t="inlineStr">
        <is>
          <t>Казань</t>
        </is>
      </c>
      <c r="E46" s="18" t="inlineStr">
        <is>
          <t>JETOUR</t>
        </is>
      </c>
      <c r="F46" s="18" t="inlineStr">
        <is>
          <t>X70+</t>
        </is>
      </c>
      <c r="G46" s="31" t="inlineStr">
        <is>
          <t>EC37CUSM7TC006777</t>
        </is>
      </c>
      <c r="H46" s="18" t="inlineStr">
        <is>
          <t>ГК «Диалог Авто»</t>
        </is>
      </c>
      <c r="I46" s="18" t="inlineStr">
        <is>
          <t>ONLINE ДИАЛОГ А</t>
        </is>
      </c>
      <c r="J46" s="18" t="inlineStr">
        <is>
          <t>МП2</t>
        </is>
      </c>
      <c r="K46" s="21" t="n">
        <v>2350000</v>
      </c>
      <c r="L46" s="22" t="n">
        <v>35250</v>
      </c>
      <c r="M46" s="22" t="n">
        <v>28893.44</v>
      </c>
      <c r="N46" s="18" t="inlineStr">
        <is>
          <t>Фокин Борис</t>
        </is>
      </c>
      <c r="O46" s="18" t="inlineStr">
        <is>
          <t>Гамаюнов Вячеслав</t>
        </is>
      </c>
    </row>
    <row r="47">
      <c r="A47" s="32" t="n">
        <v>46</v>
      </c>
      <c r="B47" s="32" t="inlineStr">
        <is>
          <t>512474</t>
        </is>
      </c>
      <c r="C47" s="32" t="inlineStr">
        <is>
          <t>17.08.2026</t>
        </is>
      </c>
      <c r="D47" s="23" t="inlineStr">
        <is>
          <t>Казань</t>
        </is>
      </c>
      <c r="E47" s="23" t="inlineStr">
        <is>
          <t>JETOUR</t>
        </is>
      </c>
      <c r="F47" s="23" t="inlineStr">
        <is>
          <t>X70PLUS</t>
        </is>
      </c>
      <c r="G47" s="32" t="inlineStr">
        <is>
          <t>EC37CUSM2TC007111</t>
        </is>
      </c>
      <c r="H47" s="23" t="inlineStr">
        <is>
          <t>ГК «Диалог Авто»</t>
        </is>
      </c>
      <c r="I47" s="23" t="inlineStr">
        <is>
          <t>Online ГК Диалог \ ООО "Управляющая компания Диалог"</t>
        </is>
      </c>
      <c r="J47" s="23" t="inlineStr">
        <is>
          <t>ФДЦ</t>
        </is>
      </c>
      <c r="K47" s="26" t="n">
        <v>2340000</v>
      </c>
      <c r="L47" s="27" t="n">
        <v>35100</v>
      </c>
      <c r="M47" s="27" t="n">
        <v>28770.49</v>
      </c>
      <c r="N47" s="23" t="inlineStr">
        <is>
          <t>Фомичев Владислав</t>
        </is>
      </c>
      <c r="O47" s="23" t="inlineStr">
        <is>
          <t>Восконян Алексей</t>
        </is>
      </c>
    </row>
    <row r="48">
      <c r="A48" s="31" t="n">
        <v>47</v>
      </c>
      <c r="B48" s="31" t="inlineStr">
        <is>
          <t>506376</t>
        </is>
      </c>
      <c r="C48" s="31" t="inlineStr">
        <is>
          <t>04.08.2026</t>
        </is>
      </c>
      <c r="D48" s="18" t="inlineStr">
        <is>
          <t>Казань</t>
        </is>
      </c>
      <c r="E48" s="18" t="inlineStr">
        <is>
          <t>JETOUR</t>
        </is>
      </c>
      <c r="F48" s="18" t="inlineStr">
        <is>
          <t>X70 PLUS</t>
        </is>
      </c>
      <c r="G48" s="31" t="inlineStr">
        <is>
          <t>EC37CUSM9SC003703</t>
        </is>
      </c>
      <c r="H48" s="18" t="inlineStr">
        <is>
          <t>ГК «Апельсин» / «Автосеть.РФ»</t>
        </is>
      </c>
      <c r="I48" s="18" t="inlineStr">
        <is>
          <t>ООО "СПЕКТР" ONLINE АВТОСЕТЬ РФ/Апельсин</t>
        </is>
      </c>
      <c r="J48" s="18" t="inlineStr">
        <is>
          <t>МП2</t>
        </is>
      </c>
      <c r="K48" s="21" t="n">
        <v>2290000</v>
      </c>
      <c r="L48" s="22" t="n">
        <v>45800</v>
      </c>
      <c r="M48" s="22" t="n">
        <v>37540.98</v>
      </c>
      <c r="N48" s="18" t="inlineStr">
        <is>
          <t>Фокин Борис</t>
        </is>
      </c>
      <c r="O48" s="18" t="inlineStr">
        <is>
          <t>Гамаюнов Вячеслав</t>
        </is>
      </c>
    </row>
    <row r="49">
      <c r="A49" s="32" t="n">
        <v>48</v>
      </c>
      <c r="B49" s="32" t="inlineStr">
        <is>
          <t>497054</t>
        </is>
      </c>
      <c r="C49" s="32" t="inlineStr">
        <is>
          <t>17.08.2026</t>
        </is>
      </c>
      <c r="D49" s="23" t="inlineStr">
        <is>
          <t>Казань</t>
        </is>
      </c>
      <c r="E49" s="23" t="inlineStr">
        <is>
          <t>JETOUR</t>
        </is>
      </c>
      <c r="F49" s="23" t="inlineStr">
        <is>
          <t>X70+</t>
        </is>
      </c>
      <c r="G49" s="32" t="inlineStr">
        <is>
          <t>EC37LUSM1TC006371</t>
        </is>
      </c>
      <c r="H49" s="23" t="inlineStr">
        <is>
          <t>АО «Барс Авто»</t>
        </is>
      </c>
      <c r="I49" s="23" t="inlineStr">
        <is>
          <t>ONLINE АО "БАРС АВТО"</t>
        </is>
      </c>
      <c r="J49" s="23" t="inlineStr">
        <is>
          <t>МП2</t>
        </is>
      </c>
      <c r="K49" s="26" t="n">
        <v>2280000</v>
      </c>
      <c r="L49" s="27" t="n">
        <v>45600</v>
      </c>
      <c r="M49" s="27" t="n">
        <v>37377.05</v>
      </c>
      <c r="N49" s="23" t="inlineStr">
        <is>
          <t>Фокин Борис</t>
        </is>
      </c>
      <c r="O49" s="23" t="inlineStr">
        <is>
          <t>Гамаюнов Вячеслав</t>
        </is>
      </c>
    </row>
    <row r="50">
      <c r="A50" s="31" t="n">
        <v>49</v>
      </c>
      <c r="B50" s="31" t="inlineStr">
        <is>
          <t>497948</t>
        </is>
      </c>
      <c r="C50" s="31" t="inlineStr">
        <is>
          <t>03.08.2026</t>
        </is>
      </c>
      <c r="D50" s="18" t="inlineStr">
        <is>
          <t>Казань</t>
        </is>
      </c>
      <c r="E50" s="18" t="inlineStr">
        <is>
          <t>JETOUR</t>
        </is>
      </c>
      <c r="F50" s="18" t="inlineStr">
        <is>
          <t>X70PLUS</t>
        </is>
      </c>
      <c r="G50" s="31" t="inlineStr">
        <is>
          <t>EC37LUSM8TC007307</t>
        </is>
      </c>
      <c r="H50" s="18" t="inlineStr">
        <is>
          <t>АО «Барс Авто»</t>
        </is>
      </c>
      <c r="I50" s="18" t="inlineStr">
        <is>
          <t>ONLINE АО "БАРС АВТО"</t>
        </is>
      </c>
      <c r="J50" s="18" t="inlineStr">
        <is>
          <t>МП2</t>
        </is>
      </c>
      <c r="K50" s="21" t="n">
        <v>2270000</v>
      </c>
      <c r="L50" s="22" t="n">
        <v>45400</v>
      </c>
      <c r="M50" s="22" t="n">
        <v>37213.11</v>
      </c>
      <c r="N50" s="18" t="inlineStr">
        <is>
          <t>Фокин Борис</t>
        </is>
      </c>
      <c r="O50" s="18" t="inlineStr">
        <is>
          <t>Гамаюнов Вячеслав</t>
        </is>
      </c>
    </row>
    <row r="51">
      <c r="A51" s="32" t="n">
        <v>50</v>
      </c>
      <c r="B51" s="32" t="inlineStr">
        <is>
          <t>497714</t>
        </is>
      </c>
      <c r="C51" s="32" t="inlineStr">
        <is>
          <t>03.08.2026</t>
        </is>
      </c>
      <c r="D51" s="23" t="inlineStr">
        <is>
          <t>Казань</t>
        </is>
      </c>
      <c r="E51" s="23" t="inlineStr">
        <is>
          <t>JETOUR</t>
        </is>
      </c>
      <c r="F51" s="23" t="inlineStr">
        <is>
          <t>X70+</t>
        </is>
      </c>
      <c r="G51" s="32" t="inlineStr">
        <is>
          <t>EC37LUSM1TC006497</t>
        </is>
      </c>
      <c r="H51" s="23" t="inlineStr">
        <is>
          <t>АО «Барс Авто»</t>
        </is>
      </c>
      <c r="I51" s="23" t="inlineStr">
        <is>
          <t>ONLINE АО "БАРС АВТО"</t>
        </is>
      </c>
      <c r="J51" s="23" t="inlineStr">
        <is>
          <t>МП2</t>
        </is>
      </c>
      <c r="K51" s="26" t="n">
        <v>2270000</v>
      </c>
      <c r="L51" s="27" t="n">
        <v>45400</v>
      </c>
      <c r="M51" s="27" t="n">
        <v>37213.11</v>
      </c>
      <c r="N51" s="23" t="inlineStr">
        <is>
          <t>Фокин Борис</t>
        </is>
      </c>
      <c r="O51" s="23" t="inlineStr">
        <is>
          <t>Гамаюнов Вячеслав</t>
        </is>
      </c>
    </row>
    <row r="52">
      <c r="A52" s="31" t="n">
        <v>51</v>
      </c>
      <c r="B52" s="31" t="inlineStr">
        <is>
          <t>493618</t>
        </is>
      </c>
      <c r="C52" s="31" t="inlineStr">
        <is>
          <t>04.08.2026</t>
        </is>
      </c>
      <c r="D52" s="18" t="inlineStr">
        <is>
          <t>Казань</t>
        </is>
      </c>
      <c r="E52" s="18" t="inlineStr">
        <is>
          <t>JETOUR</t>
        </is>
      </c>
      <c r="F52" s="18" t="inlineStr">
        <is>
          <t>X70PLUS</t>
        </is>
      </c>
      <c r="G52" s="31" t="inlineStr">
        <is>
          <t>EC37LUSM7TC007296</t>
        </is>
      </c>
      <c r="H52" s="18" t="inlineStr">
        <is>
          <t>АО «Барс Авто»</t>
        </is>
      </c>
      <c r="I52" s="18" t="inlineStr">
        <is>
          <t>ONLINE АО "БАРС АВТО"</t>
        </is>
      </c>
      <c r="J52" s="18" t="inlineStr">
        <is>
          <t>МП2</t>
        </is>
      </c>
      <c r="K52" s="21" t="n">
        <v>2250000</v>
      </c>
      <c r="L52" s="22" t="n">
        <v>45000</v>
      </c>
      <c r="M52" s="22" t="n">
        <v>36885.25</v>
      </c>
      <c r="N52" s="18" t="inlineStr">
        <is>
          <t>Фокин Борис</t>
        </is>
      </c>
      <c r="O52" s="18" t="inlineStr">
        <is>
          <t>Гамаюнов Вячеслав</t>
        </is>
      </c>
    </row>
    <row r="53">
      <c r="A53" s="32" t="n">
        <v>52</v>
      </c>
      <c r="B53" s="32" t="inlineStr">
        <is>
          <t>517474</t>
        </is>
      </c>
      <c r="C53" s="32" t="inlineStr">
        <is>
          <t>15.08.2026</t>
        </is>
      </c>
      <c r="D53" s="23" t="inlineStr">
        <is>
          <t>Казань</t>
        </is>
      </c>
      <c r="E53" s="23" t="inlineStr">
        <is>
          <t>JETOUR</t>
        </is>
      </c>
      <c r="F53" s="23" t="inlineStr">
        <is>
          <t>X70PLUS</t>
        </is>
      </c>
      <c r="G53" s="32" t="inlineStr">
        <is>
          <t>EC37CUSM8TC006125</t>
        </is>
      </c>
      <c r="H53" s="23" t="inlineStr">
        <is>
          <t>ГК «Диалог Авто»</t>
        </is>
      </c>
      <c r="I53" s="23" t="inlineStr">
        <is>
          <t>Online ГК Диалог \ ООО "Управляющая компания Диалог"</t>
        </is>
      </c>
      <c r="J53" s="23" t="inlineStr">
        <is>
          <t>МП2</t>
        </is>
      </c>
      <c r="K53" s="26" t="n">
        <v>2190000</v>
      </c>
      <c r="L53" s="27" t="n">
        <v>32850</v>
      </c>
      <c r="M53" s="27" t="n">
        <v>26926.23</v>
      </c>
      <c r="N53" s="23" t="inlineStr">
        <is>
          <t>Фокин Борис</t>
        </is>
      </c>
      <c r="O53" s="23" t="inlineStr">
        <is>
          <t>Гамаюнов Вячеслав</t>
        </is>
      </c>
    </row>
    <row r="54">
      <c r="A54" s="31" t="n">
        <v>53</v>
      </c>
      <c r="B54" s="31" t="inlineStr">
        <is>
          <t>499498</t>
        </is>
      </c>
      <c r="C54" s="31" t="inlineStr">
        <is>
          <t>17.08.2026</t>
        </is>
      </c>
      <c r="D54" s="18" t="inlineStr">
        <is>
          <t>Казань</t>
        </is>
      </c>
      <c r="E54" s="18" t="inlineStr">
        <is>
          <t>JETOUR</t>
        </is>
      </c>
      <c r="F54" s="18" t="inlineStr">
        <is>
          <t>X70PLUS</t>
        </is>
      </c>
      <c r="G54" s="31" t="inlineStr">
        <is>
          <t>EC37CUSM1TC007200</t>
        </is>
      </c>
      <c r="H54" s="18" t="inlineStr">
        <is>
          <t>АО «Барс Авто»</t>
        </is>
      </c>
      <c r="I54" s="18" t="inlineStr">
        <is>
          <t>ONLINE АО "БАРС АВТО"</t>
        </is>
      </c>
      <c r="J54" s="18" t="inlineStr">
        <is>
          <t>МП2</t>
        </is>
      </c>
      <c r="K54" s="21" t="n">
        <v>2180000</v>
      </c>
      <c r="L54" s="22" t="n">
        <v>43600</v>
      </c>
      <c r="M54" s="22" t="n">
        <v>35737.7</v>
      </c>
      <c r="N54" s="18" t="inlineStr">
        <is>
          <t>Фокин Борис</t>
        </is>
      </c>
      <c r="O54" s="18" t="inlineStr">
        <is>
          <t>Гамаюнов Вячеслав</t>
        </is>
      </c>
    </row>
    <row r="55">
      <c r="A55" s="32" t="n">
        <v>54</v>
      </c>
      <c r="B55" s="32" t="inlineStr">
        <is>
          <t>506328</t>
        </is>
      </c>
      <c r="C55" s="32" t="inlineStr">
        <is>
          <t>04.08.2026</t>
        </is>
      </c>
      <c r="D55" s="23" t="inlineStr">
        <is>
          <t>Казань</t>
        </is>
      </c>
      <c r="E55" s="23" t="inlineStr">
        <is>
          <t>JETOUR</t>
        </is>
      </c>
      <c r="F55" s="23" t="inlineStr">
        <is>
          <t>DASHING</t>
        </is>
      </c>
      <c r="G55" s="32" t="inlineStr">
        <is>
          <t>EC3DCUFD5TC016141</t>
        </is>
      </c>
      <c r="H55" s="23" t="inlineStr">
        <is>
          <t>ГК «Апельсин» / «Автосеть.РФ»</t>
        </is>
      </c>
      <c r="I55" s="23" t="inlineStr">
        <is>
          <t>ООО "СПЕКТР" ONLINE АВТОСЕТЬ РФ/Апельсин</t>
        </is>
      </c>
      <c r="J55" s="23" t="inlineStr">
        <is>
          <t>МП2</t>
        </is>
      </c>
      <c r="K55" s="26" t="n">
        <v>2130000</v>
      </c>
      <c r="L55" s="27" t="n">
        <v>42000</v>
      </c>
      <c r="M55" s="27" t="n">
        <v>34426.23</v>
      </c>
      <c r="N55" s="23" t="inlineStr">
        <is>
          <t>Фокин Борис</t>
        </is>
      </c>
      <c r="O55" s="23" t="inlineStr">
        <is>
          <t>Гамаюнов Вячеслав</t>
        </is>
      </c>
    </row>
    <row r="56">
      <c r="A56" s="31" t="n">
        <v>55</v>
      </c>
      <c r="B56" s="31" t="inlineStr">
        <is>
          <t>490494</t>
        </is>
      </c>
      <c r="C56" s="31" t="inlineStr">
        <is>
          <t>04.08.2026</t>
        </is>
      </c>
      <c r="D56" s="18" t="inlineStr">
        <is>
          <t>Казань</t>
        </is>
      </c>
      <c r="E56" s="18" t="inlineStr">
        <is>
          <t>JETOUR</t>
        </is>
      </c>
      <c r="F56" s="18" t="inlineStr">
        <is>
          <t>X70 +</t>
        </is>
      </c>
      <c r="G56" s="31" t="inlineStr">
        <is>
          <t>EC37CUSM4SC004659</t>
        </is>
      </c>
      <c r="H56" s="18" t="inlineStr">
        <is>
          <t>ГК «Диалог Авто»</t>
        </is>
      </c>
      <c r="I56" s="18" t="inlineStr">
        <is>
          <t>ONLINE ГК Диалог \ ООО Диалог Авто</t>
        </is>
      </c>
      <c r="J56" s="18" t="inlineStr">
        <is>
          <t>МП2</t>
        </is>
      </c>
      <c r="K56" s="21" t="n">
        <v>2130000</v>
      </c>
      <c r="L56" s="22" t="n">
        <v>31950</v>
      </c>
      <c r="M56" s="22" t="n">
        <v>26188.52</v>
      </c>
      <c r="N56" s="18" t="inlineStr">
        <is>
          <t>Фокин Борис</t>
        </is>
      </c>
      <c r="O56" s="18" t="inlineStr">
        <is>
          <t>Гамаюнов Вячеслав</t>
        </is>
      </c>
    </row>
    <row r="57">
      <c r="A57" s="32" t="n">
        <v>56</v>
      </c>
      <c r="B57" s="32" t="inlineStr">
        <is>
          <t>534962</t>
        </is>
      </c>
      <c r="C57" s="32" t="inlineStr">
        <is>
          <t>31.08.2026</t>
        </is>
      </c>
      <c r="D57" s="23" t="inlineStr">
        <is>
          <t>Казань</t>
        </is>
      </c>
      <c r="E57" s="23" t="inlineStr">
        <is>
          <t>JETOUR</t>
        </is>
      </c>
      <c r="F57" s="23" t="inlineStr">
        <is>
          <t>DASHING</t>
        </is>
      </c>
      <c r="G57" s="32" t="inlineStr">
        <is>
          <t>EC3DCUFD1TC016234</t>
        </is>
      </c>
      <c r="H57" s="23" t="inlineStr">
        <is>
          <t>ГК «Диалог Авто»</t>
        </is>
      </c>
      <c r="I57" s="23" t="inlineStr">
        <is>
          <t>ONLINE ДИАЛОГ А</t>
        </is>
      </c>
      <c r="J57" s="23" t="inlineStr">
        <is>
          <t>Передача лида</t>
        </is>
      </c>
      <c r="K57" s="26" t="n">
        <v>2100000</v>
      </c>
      <c r="L57" s="27" t="n">
        <v>31500</v>
      </c>
      <c r="M57" s="27" t="n">
        <v>25819.67</v>
      </c>
      <c r="N57" s="23" t="inlineStr">
        <is>
          <t>Сариев Тимур</t>
        </is>
      </c>
      <c r="O57" s="23" t="inlineStr">
        <is>
          <t>Москот Владислав</t>
        </is>
      </c>
    </row>
    <row r="58">
      <c r="A58" s="31" t="n">
        <v>57</v>
      </c>
      <c r="B58" s="31" t="inlineStr">
        <is>
          <t>534150</t>
        </is>
      </c>
      <c r="C58" s="31" t="inlineStr">
        <is>
          <t>31.08.2026</t>
        </is>
      </c>
      <c r="D58" s="18" t="inlineStr">
        <is>
          <t>Казань</t>
        </is>
      </c>
      <c r="E58" s="18" t="inlineStr">
        <is>
          <t>JETOUR</t>
        </is>
      </c>
      <c r="F58" s="18" t="inlineStr">
        <is>
          <t>DASHING</t>
        </is>
      </c>
      <c r="G58" s="31" t="inlineStr">
        <is>
          <t>EC3DCUFD8TC015470</t>
        </is>
      </c>
      <c r="H58" s="18" t="inlineStr">
        <is>
          <t>АО «Барс Авто»</t>
        </is>
      </c>
      <c r="I58" s="18" t="inlineStr">
        <is>
          <t>ONLINE АО "БАРС АВТО"</t>
        </is>
      </c>
      <c r="J58" s="18" t="inlineStr">
        <is>
          <t>МП2</t>
        </is>
      </c>
      <c r="K58" s="21" t="n">
        <v>2100000</v>
      </c>
      <c r="L58" s="22" t="n">
        <v>42000</v>
      </c>
      <c r="M58" s="22" t="n">
        <v>34426.23</v>
      </c>
      <c r="N58" s="18" t="inlineStr">
        <is>
          <t>Фокин Борис</t>
        </is>
      </c>
      <c r="O58" s="18" t="inlineStr">
        <is>
          <t>Гамаюнов Вячеслав</t>
        </is>
      </c>
    </row>
    <row r="59">
      <c r="A59" s="32" t="n">
        <v>58</v>
      </c>
      <c r="B59" s="32" t="inlineStr">
        <is>
          <t>528326</t>
        </is>
      </c>
      <c r="C59" s="32" t="inlineStr">
        <is>
          <t>24.08.2026</t>
        </is>
      </c>
      <c r="D59" s="23" t="inlineStr">
        <is>
          <t>Казань</t>
        </is>
      </c>
      <c r="E59" s="23" t="inlineStr">
        <is>
          <t>JETOUR</t>
        </is>
      </c>
      <c r="F59" s="23" t="inlineStr">
        <is>
          <t>DASHING</t>
        </is>
      </c>
      <c r="G59" s="32" t="inlineStr">
        <is>
          <t>EC3DCUFD9TC010360</t>
        </is>
      </c>
      <c r="H59" s="23" t="inlineStr">
        <is>
          <t>АО «Барс Авто»</t>
        </is>
      </c>
      <c r="I59" s="23" t="inlineStr">
        <is>
          <t>ONLINE АО "БАРС АВТО"</t>
        </is>
      </c>
      <c r="J59" s="23" t="inlineStr">
        <is>
          <t>МП2</t>
        </is>
      </c>
      <c r="K59" s="26" t="n">
        <v>2100000</v>
      </c>
      <c r="L59" s="27" t="n">
        <v>42000</v>
      </c>
      <c r="M59" s="27" t="n">
        <v>34426.23</v>
      </c>
      <c r="N59" s="23" t="inlineStr">
        <is>
          <t>Фокин Борис</t>
        </is>
      </c>
      <c r="O59" s="23" t="inlineStr">
        <is>
          <t>Гамаюнов Вячеслав</t>
        </is>
      </c>
    </row>
    <row r="60">
      <c r="A60" s="31" t="n">
        <v>59</v>
      </c>
      <c r="B60" s="31" t="inlineStr">
        <is>
          <t>528260</t>
        </is>
      </c>
      <c r="C60" s="31" t="inlineStr">
        <is>
          <t>31.08.2026</t>
        </is>
      </c>
      <c r="D60" s="18" t="inlineStr">
        <is>
          <t>Казань</t>
        </is>
      </c>
      <c r="E60" s="18" t="inlineStr">
        <is>
          <t>JETOUR</t>
        </is>
      </c>
      <c r="F60" s="18" t="inlineStr">
        <is>
          <t>DASHING</t>
        </is>
      </c>
      <c r="G60" s="31" t="inlineStr">
        <is>
          <t>EC3DCUFD9TC010486</t>
        </is>
      </c>
      <c r="H60" s="18" t="inlineStr">
        <is>
          <t>АО «Барс Авто»</t>
        </is>
      </c>
      <c r="I60" s="18" t="inlineStr">
        <is>
          <t>ONLINE АО "БАРС АВТО"</t>
        </is>
      </c>
      <c r="J60" s="18" t="inlineStr">
        <is>
          <t>МП2</t>
        </is>
      </c>
      <c r="K60" s="21" t="n">
        <v>2100000</v>
      </c>
      <c r="L60" s="22" t="n">
        <v>42000</v>
      </c>
      <c r="M60" s="22" t="n">
        <v>34426.23</v>
      </c>
      <c r="N60" s="18" t="inlineStr">
        <is>
          <t>Фокин Борис</t>
        </is>
      </c>
      <c r="O60" s="18" t="inlineStr">
        <is>
          <t>Гамаюнов Вячеслав</t>
        </is>
      </c>
    </row>
    <row r="61">
      <c r="A61" s="32" t="n">
        <v>60</v>
      </c>
      <c r="B61" s="32" t="inlineStr">
        <is>
          <t>526756</t>
        </is>
      </c>
      <c r="C61" s="32" t="inlineStr">
        <is>
          <t>23.08.2026</t>
        </is>
      </c>
      <c r="D61" s="23" t="inlineStr">
        <is>
          <t>Казань</t>
        </is>
      </c>
      <c r="E61" s="23" t="inlineStr">
        <is>
          <t>JETOUR</t>
        </is>
      </c>
      <c r="F61" s="23" t="inlineStr">
        <is>
          <t>DASHING</t>
        </is>
      </c>
      <c r="G61" s="32" t="inlineStr">
        <is>
          <t>EC3DCUFD7TC011121</t>
        </is>
      </c>
      <c r="H61" s="23" t="inlineStr">
        <is>
          <t>ГК «КАН АВТО»</t>
        </is>
      </c>
      <c r="I61" s="23" t="inlineStr">
        <is>
          <t>ООО "КАН АВТО-5" ONLINE</t>
        </is>
      </c>
      <c r="J61" s="23" t="inlineStr">
        <is>
          <t>МП3</t>
        </is>
      </c>
      <c r="K61" s="26" t="n">
        <v>2100000</v>
      </c>
      <c r="L61" s="27" t="n">
        <v>42000</v>
      </c>
      <c r="M61" s="27" t="n">
        <v>34426.23</v>
      </c>
      <c r="N61" s="23" t="inlineStr">
        <is>
          <t>Яковлева Валерия</t>
        </is>
      </c>
      <c r="O61" s="23" t="inlineStr">
        <is>
          <t>Восконян Алексей</t>
        </is>
      </c>
    </row>
    <row r="62">
      <c r="A62" s="31" t="n">
        <v>61</v>
      </c>
      <c r="B62" s="31" t="inlineStr">
        <is>
          <t>516764</t>
        </is>
      </c>
      <c r="C62" s="31" t="inlineStr">
        <is>
          <t>14.08.2026</t>
        </is>
      </c>
      <c r="D62" s="18" t="inlineStr">
        <is>
          <t>Казань</t>
        </is>
      </c>
      <c r="E62" s="18" t="inlineStr">
        <is>
          <t>JETOUR</t>
        </is>
      </c>
      <c r="F62" s="18" t="inlineStr">
        <is>
          <t>DASHING</t>
        </is>
      </c>
      <c r="G62" s="31" t="inlineStr">
        <is>
          <t>EC3DCUFD6TC016004</t>
        </is>
      </c>
      <c r="H62" s="18" t="inlineStr">
        <is>
          <t>АО «Барс Авто»</t>
        </is>
      </c>
      <c r="I62" s="18" t="inlineStr">
        <is>
          <t>ONLINE АО "БАРС АВТО"</t>
        </is>
      </c>
      <c r="J62" s="18" t="inlineStr">
        <is>
          <t>МП2</t>
        </is>
      </c>
      <c r="K62" s="21" t="n">
        <v>2100000</v>
      </c>
      <c r="L62" s="22" t="n">
        <v>42000</v>
      </c>
      <c r="M62" s="22" t="n">
        <v>34426.23</v>
      </c>
      <c r="N62" s="18" t="inlineStr">
        <is>
          <t>Фокин Борис</t>
        </is>
      </c>
      <c r="O62" s="18" t="inlineStr">
        <is>
          <t>Гамаюнов Вячеслав</t>
        </is>
      </c>
    </row>
    <row r="63">
      <c r="A63" s="32" t="n">
        <v>62</v>
      </c>
      <c r="B63" s="32" t="inlineStr">
        <is>
          <t>514902</t>
        </is>
      </c>
      <c r="C63" s="32" t="inlineStr">
        <is>
          <t>12.08.2026</t>
        </is>
      </c>
      <c r="D63" s="23" t="inlineStr">
        <is>
          <t>Казань</t>
        </is>
      </c>
      <c r="E63" s="23" t="inlineStr">
        <is>
          <t>JETOUR</t>
        </is>
      </c>
      <c r="F63" s="23" t="inlineStr">
        <is>
          <t>DASHING</t>
        </is>
      </c>
      <c r="G63" s="32" t="inlineStr">
        <is>
          <t>EC3DCUFD3TC015876</t>
        </is>
      </c>
      <c r="H63" s="23" t="inlineStr">
        <is>
          <t>ГК «Диалог Авто»</t>
        </is>
      </c>
      <c r="I63" s="23" t="inlineStr">
        <is>
          <t>Online ГК Диалог \ ООО "Управляющая компания Диалог"</t>
        </is>
      </c>
      <c r="J63" s="23" t="inlineStr">
        <is>
          <t>МП2</t>
        </is>
      </c>
      <c r="K63" s="26" t="n">
        <v>2100000</v>
      </c>
      <c r="L63" s="27" t="n">
        <v>31500</v>
      </c>
      <c r="M63" s="27" t="n">
        <v>25819.67</v>
      </c>
      <c r="N63" s="23" t="inlineStr">
        <is>
          <t>Фокин Борис</t>
        </is>
      </c>
      <c r="O63" s="23" t="inlineStr">
        <is>
          <t>Гамаюнов Вячеслав</t>
        </is>
      </c>
    </row>
    <row r="64">
      <c r="A64" s="31" t="n">
        <v>63</v>
      </c>
      <c r="B64" s="31" t="inlineStr">
        <is>
          <t>510336</t>
        </is>
      </c>
      <c r="C64" s="31" t="inlineStr">
        <is>
          <t>07.08.2026</t>
        </is>
      </c>
      <c r="D64" s="18" t="inlineStr">
        <is>
          <t>Казань</t>
        </is>
      </c>
      <c r="E64" s="18" t="inlineStr">
        <is>
          <t>JETOUR</t>
        </is>
      </c>
      <c r="F64" s="18" t="inlineStr">
        <is>
          <t>DASHING</t>
        </is>
      </c>
      <c r="G64" s="31" t="inlineStr">
        <is>
          <t>EC3DCUFDXTC016037</t>
        </is>
      </c>
      <c r="H64" s="18" t="inlineStr">
        <is>
          <t>АО «Барс Авто»</t>
        </is>
      </c>
      <c r="I64" s="18" t="inlineStr">
        <is>
          <t>ONLINE АО "БАРС АВТО"</t>
        </is>
      </c>
      <c r="J64" s="18" t="inlineStr">
        <is>
          <t>ФДЦ</t>
        </is>
      </c>
      <c r="K64" s="21" t="n">
        <v>2100000</v>
      </c>
      <c r="L64" s="22" t="n">
        <v>42000</v>
      </c>
      <c r="M64" s="22" t="n">
        <v>34426.23</v>
      </c>
      <c r="N64" s="18" t="inlineStr">
        <is>
          <t>Харитонова Олеся</t>
        </is>
      </c>
      <c r="O64" s="18" t="inlineStr">
        <is>
          <t>Москот Владислав</t>
        </is>
      </c>
    </row>
    <row r="65">
      <c r="A65" s="32" t="n">
        <v>64</v>
      </c>
      <c r="B65" s="32" t="inlineStr">
        <is>
          <t>506272</t>
        </is>
      </c>
      <c r="C65" s="32" t="inlineStr">
        <is>
          <t>03.08.2026</t>
        </is>
      </c>
      <c r="D65" s="23" t="inlineStr">
        <is>
          <t>Казань</t>
        </is>
      </c>
      <c r="E65" s="23" t="inlineStr">
        <is>
          <t>JETOUR</t>
        </is>
      </c>
      <c r="F65" s="23" t="inlineStr">
        <is>
          <t>DASHING</t>
        </is>
      </c>
      <c r="G65" s="32" t="inlineStr">
        <is>
          <t>EC3DCUFD1TC015908</t>
        </is>
      </c>
      <c r="H65" s="23" t="inlineStr">
        <is>
          <t>АО «Барс Авто»</t>
        </is>
      </c>
      <c r="I65" s="23" t="inlineStr">
        <is>
          <t>ONLINE АО "БАРС АВТО"</t>
        </is>
      </c>
      <c r="J65" s="23" t="inlineStr">
        <is>
          <t>МП2</t>
        </is>
      </c>
      <c r="K65" s="26" t="n">
        <v>2100000</v>
      </c>
      <c r="L65" s="27" t="n">
        <v>42000</v>
      </c>
      <c r="M65" s="27" t="n">
        <v>34426.23</v>
      </c>
      <c r="N65" s="23" t="inlineStr">
        <is>
          <t>Фокин Борис</t>
        </is>
      </c>
      <c r="O65" s="23" t="inlineStr">
        <is>
          <t>Гамаюнов Вячеслав</t>
        </is>
      </c>
    </row>
    <row r="66">
      <c r="A66" s="31" t="n">
        <v>65</v>
      </c>
      <c r="B66" s="31" t="inlineStr">
        <is>
          <t>517822</t>
        </is>
      </c>
      <c r="C66" s="31" t="inlineStr">
        <is>
          <t>16.08.2026</t>
        </is>
      </c>
      <c r="D66" s="18" t="inlineStr">
        <is>
          <t>Казань</t>
        </is>
      </c>
      <c r="E66" s="18" t="inlineStr">
        <is>
          <t>JETOUR</t>
        </is>
      </c>
      <c r="F66" s="18" t="inlineStr">
        <is>
          <t>DASHING</t>
        </is>
      </c>
      <c r="G66" s="31" t="inlineStr">
        <is>
          <t>EC3DCUFD8TC015193</t>
        </is>
      </c>
      <c r="H66" s="18" t="inlineStr">
        <is>
          <t>ГК «Диалог Авто»</t>
        </is>
      </c>
      <c r="I66" s="18" t="inlineStr">
        <is>
          <t>ONLINE ДИАЛОГ А</t>
        </is>
      </c>
      <c r="J66" s="18" t="inlineStr">
        <is>
          <t>МП2</t>
        </is>
      </c>
      <c r="K66" s="21" t="n">
        <v>2090000</v>
      </c>
      <c r="L66" s="22" t="n">
        <v>31350</v>
      </c>
      <c r="M66" s="22" t="n">
        <v>25696.72</v>
      </c>
      <c r="N66" s="18" t="inlineStr">
        <is>
          <t>Фокин Борис</t>
        </is>
      </c>
      <c r="O66" s="18" t="inlineStr">
        <is>
          <t>Гамаюнов Вячеслав</t>
        </is>
      </c>
    </row>
    <row r="67">
      <c r="A67" s="32" t="n">
        <v>66</v>
      </c>
      <c r="B67" s="32" t="inlineStr">
        <is>
          <t>533146</t>
        </is>
      </c>
      <c r="C67" s="32" t="inlineStr">
        <is>
          <t>30.08.2026</t>
        </is>
      </c>
      <c r="D67" s="23" t="inlineStr">
        <is>
          <t>Казань</t>
        </is>
      </c>
      <c r="E67" s="23" t="inlineStr">
        <is>
          <t>JETOUR</t>
        </is>
      </c>
      <c r="F67" s="23" t="inlineStr">
        <is>
          <t>DASHING</t>
        </is>
      </c>
      <c r="G67" s="32" t="inlineStr">
        <is>
          <t>EC3DCUFD1TC016301</t>
        </is>
      </c>
      <c r="H67" s="23" t="inlineStr">
        <is>
          <t>ГК «Диалог Авто»</t>
        </is>
      </c>
      <c r="I67" s="23" t="inlineStr">
        <is>
          <t>Online ГК Диалог \ ООО "Управляющая компания Диалог"</t>
        </is>
      </c>
      <c r="J67" s="23" t="inlineStr">
        <is>
          <t>МП2</t>
        </is>
      </c>
      <c r="K67" s="26" t="n">
        <v>2080000</v>
      </c>
      <c r="L67" s="27" t="n">
        <v>31200</v>
      </c>
      <c r="M67" s="27" t="n">
        <v>25573.77</v>
      </c>
      <c r="N67" s="23" t="inlineStr">
        <is>
          <t>Фокин Борис</t>
        </is>
      </c>
      <c r="O67" s="23" t="inlineStr">
        <is>
          <t>Гамаюнов Вячеслав</t>
        </is>
      </c>
    </row>
    <row r="68">
      <c r="A68" s="31" t="n">
        <v>67</v>
      </c>
      <c r="B68" s="31" t="inlineStr">
        <is>
          <t>509058</t>
        </is>
      </c>
      <c r="C68" s="31" t="inlineStr">
        <is>
          <t>06.08.2026</t>
        </is>
      </c>
      <c r="D68" s="18" t="inlineStr">
        <is>
          <t>Казань</t>
        </is>
      </c>
      <c r="E68" s="18" t="inlineStr">
        <is>
          <t>JETOUR</t>
        </is>
      </c>
      <c r="F68" s="18" t="inlineStr">
        <is>
          <t>DASHING</t>
        </is>
      </c>
      <c r="G68" s="31" t="inlineStr">
        <is>
          <t>EC3DCUFD8TC010897</t>
        </is>
      </c>
      <c r="H68" s="18" t="inlineStr">
        <is>
          <t>ГК «Апельсин» / «Автосеть.РФ»</t>
        </is>
      </c>
      <c r="I68" s="18" t="inlineStr">
        <is>
          <t>ООО "СПЕКТР" ONLINE АВТОСЕТЬ РФ/Апельсин</t>
        </is>
      </c>
      <c r="J68" s="18" t="inlineStr">
        <is>
          <t>МП2</t>
        </is>
      </c>
      <c r="K68" s="21" t="n">
        <v>2050000</v>
      </c>
      <c r="L68" s="22" t="n">
        <v>41000</v>
      </c>
      <c r="M68" s="22" t="n">
        <v>33606.56</v>
      </c>
      <c r="N68" s="18" t="inlineStr">
        <is>
          <t>Не указан</t>
        </is>
      </c>
      <c r="O68" s="18" t="inlineStr">
        <is>
          <t>Без старшего</t>
        </is>
      </c>
    </row>
    <row r="69">
      <c r="A69" s="32" t="n">
        <v>68</v>
      </c>
      <c r="B69" s="32" t="inlineStr">
        <is>
          <t>529708</t>
        </is>
      </c>
      <c r="C69" s="32" t="inlineStr">
        <is>
          <t>26.08.2026</t>
        </is>
      </c>
      <c r="D69" s="23" t="inlineStr">
        <is>
          <t>Казань</t>
        </is>
      </c>
      <c r="E69" s="23" t="inlineStr">
        <is>
          <t>JETOUR</t>
        </is>
      </c>
      <c r="F69" s="23" t="inlineStr">
        <is>
          <t>DASHING</t>
        </is>
      </c>
      <c r="G69" s="32" t="inlineStr">
        <is>
          <t>EC3DCUFD6TC011319</t>
        </is>
      </c>
      <c r="H69" s="23" t="inlineStr">
        <is>
          <t>ГК «КАН АВТО»</t>
        </is>
      </c>
      <c r="I69" s="23" t="inlineStr">
        <is>
          <t>ООО "КАН АВТО-5" ONLINE</t>
        </is>
      </c>
      <c r="J69" s="23" t="inlineStr">
        <is>
          <t>ФДЦ</t>
        </is>
      </c>
      <c r="K69" s="26" t="n">
        <v>2020000</v>
      </c>
      <c r="L69" s="27" t="n">
        <v>40400</v>
      </c>
      <c r="M69" s="27" t="n">
        <v>33114.75</v>
      </c>
      <c r="N69" s="23" t="inlineStr">
        <is>
          <t>Бадиев Анар</t>
        </is>
      </c>
      <c r="O69" s="23" t="inlineStr">
        <is>
          <t>Москот Владислав</t>
        </is>
      </c>
    </row>
    <row r="70">
      <c r="A70" s="31" t="n">
        <v>69</v>
      </c>
      <c r="B70" s="31" t="inlineStr">
        <is>
          <t>510012</t>
        </is>
      </c>
      <c r="C70" s="31" t="inlineStr">
        <is>
          <t>14.08.2026</t>
        </is>
      </c>
      <c r="D70" s="18" t="inlineStr">
        <is>
          <t>Казань</t>
        </is>
      </c>
      <c r="E70" s="18" t="inlineStr">
        <is>
          <t>JETOUR</t>
        </is>
      </c>
      <c r="F70" s="18" t="inlineStr">
        <is>
          <t>DASHING</t>
        </is>
      </c>
      <c r="G70" s="31" t="inlineStr">
        <is>
          <t>EC3DCUFD8TC014626</t>
        </is>
      </c>
      <c r="H70" s="18" t="inlineStr">
        <is>
          <t>ГК «Диалог Авто»</t>
        </is>
      </c>
      <c r="I70" s="18" t="inlineStr">
        <is>
          <t>ONLINE ООО "ДИАЛОГ АВТО"</t>
        </is>
      </c>
      <c r="J70" s="18" t="inlineStr">
        <is>
          <t>МП2</t>
        </is>
      </c>
      <c r="K70" s="21" t="n">
        <v>2000000</v>
      </c>
      <c r="L70" s="22" t="n">
        <v>30000</v>
      </c>
      <c r="M70" s="22" t="n">
        <v>24590.16</v>
      </c>
      <c r="N70" s="18" t="inlineStr">
        <is>
          <t>Фокин Борис</t>
        </is>
      </c>
      <c r="O70" s="18" t="inlineStr">
        <is>
          <t>Гамаюнов Вячеслав</t>
        </is>
      </c>
    </row>
    <row r="71">
      <c r="A71" s="32" t="n">
        <v>70</v>
      </c>
      <c r="B71" s="32" t="inlineStr">
        <is>
          <t>506050</t>
        </is>
      </c>
      <c r="C71" s="32" t="inlineStr">
        <is>
          <t>03.08.2026</t>
        </is>
      </c>
      <c r="D71" s="23" t="inlineStr">
        <is>
          <t>Казань</t>
        </is>
      </c>
      <c r="E71" s="23" t="inlineStr">
        <is>
          <t>JETOUR</t>
        </is>
      </c>
      <c r="F71" s="23" t="inlineStr">
        <is>
          <t>DASHING</t>
        </is>
      </c>
      <c r="G71" s="32" t="inlineStr">
        <is>
          <t>EC3DCUFD3TC015909</t>
        </is>
      </c>
      <c r="H71" s="23" t="inlineStr">
        <is>
          <t>АО «Барс Авто»</t>
        </is>
      </c>
      <c r="I71" s="23" t="inlineStr">
        <is>
          <t>ONLINE АО "БАРС АВТО"</t>
        </is>
      </c>
      <c r="J71" s="23" t="inlineStr">
        <is>
          <t>МП2</t>
        </is>
      </c>
      <c r="K71" s="26" t="n">
        <v>1985000</v>
      </c>
      <c r="L71" s="27" t="n">
        <v>39700</v>
      </c>
      <c r="M71" s="27" t="n">
        <v>32540.98</v>
      </c>
      <c r="N71" s="23" t="inlineStr">
        <is>
          <t>Фокин Борис</t>
        </is>
      </c>
      <c r="O71" s="23" t="inlineStr">
        <is>
          <t>Гамаюнов Вячеслав</t>
        </is>
      </c>
    </row>
    <row r="72">
      <c r="A72" s="31" t="n">
        <v>71</v>
      </c>
      <c r="B72" s="31" t="inlineStr">
        <is>
          <t>506762</t>
        </is>
      </c>
      <c r="C72" s="31" t="inlineStr">
        <is>
          <t>03.08.2026</t>
        </is>
      </c>
      <c r="D72" s="18" t="inlineStr">
        <is>
          <t>Казань</t>
        </is>
      </c>
      <c r="E72" s="18" t="inlineStr">
        <is>
          <t>JETOUR</t>
        </is>
      </c>
      <c r="F72" s="18" t="inlineStr">
        <is>
          <t>DASHING</t>
        </is>
      </c>
      <c r="G72" s="31" t="inlineStr">
        <is>
          <t>EC3DCUFD7TC014729</t>
        </is>
      </c>
      <c r="H72" s="18" t="inlineStr">
        <is>
          <t>АО «Барс Авто»</t>
        </is>
      </c>
      <c r="I72" s="18" t="inlineStr">
        <is>
          <t>ONLINE АО "БАРС АВТО"</t>
        </is>
      </c>
      <c r="J72" s="18" t="inlineStr">
        <is>
          <t>МП2</t>
        </is>
      </c>
      <c r="K72" s="21" t="n">
        <v>1970000</v>
      </c>
      <c r="L72" s="22" t="n">
        <v>39400</v>
      </c>
      <c r="M72" s="22" t="n">
        <v>32295.08</v>
      </c>
      <c r="N72" s="18" t="inlineStr">
        <is>
          <t>Фокин Борис</t>
        </is>
      </c>
      <c r="O72" s="18" t="inlineStr">
        <is>
          <t>Гамаюнов Вячеслав</t>
        </is>
      </c>
    </row>
    <row r="73">
      <c r="A73" s="32" t="n">
        <v>72</v>
      </c>
      <c r="B73" s="32" t="inlineStr">
        <is>
          <t>506752</t>
        </is>
      </c>
      <c r="C73" s="32" t="inlineStr">
        <is>
          <t>03.08.2026</t>
        </is>
      </c>
      <c r="D73" s="23" t="inlineStr">
        <is>
          <t>Казань</t>
        </is>
      </c>
      <c r="E73" s="23" t="inlineStr">
        <is>
          <t>JETOUR</t>
        </is>
      </c>
      <c r="F73" s="23" t="inlineStr">
        <is>
          <t>DASHING</t>
        </is>
      </c>
      <c r="G73" s="32" t="inlineStr">
        <is>
          <t>EC3DCUFD7TC014732</t>
        </is>
      </c>
      <c r="H73" s="23" t="inlineStr">
        <is>
          <t>АО «Барс Авто»</t>
        </is>
      </c>
      <c r="I73" s="23" t="inlineStr">
        <is>
          <t>ONLINE АО "БАРС АВТО"</t>
        </is>
      </c>
      <c r="J73" s="23" t="inlineStr">
        <is>
          <t>МП2</t>
        </is>
      </c>
      <c r="K73" s="26" t="n">
        <v>1970000</v>
      </c>
      <c r="L73" s="27" t="n">
        <v>39400</v>
      </c>
      <c r="M73" s="27" t="n">
        <v>32295.08</v>
      </c>
      <c r="N73" s="23" t="inlineStr">
        <is>
          <t>Фокин Борис</t>
        </is>
      </c>
      <c r="O73" s="23" t="inlineStr">
        <is>
          <t>Гамаюнов Вячеслав</t>
        </is>
      </c>
    </row>
    <row r="74">
      <c r="A74" s="31" t="n">
        <v>73</v>
      </c>
      <c r="B74" s="31" t="inlineStr">
        <is>
          <t>498024</t>
        </is>
      </c>
      <c r="C74" s="31" t="inlineStr">
        <is>
          <t>17.08.2026</t>
        </is>
      </c>
      <c r="D74" s="18" t="inlineStr">
        <is>
          <t>Казань</t>
        </is>
      </c>
      <c r="E74" s="18" t="inlineStr">
        <is>
          <t>JETOUR</t>
        </is>
      </c>
      <c r="F74" s="18" t="inlineStr">
        <is>
          <t>DASHING</t>
        </is>
      </c>
      <c r="G74" s="31" t="inlineStr">
        <is>
          <t>EC3DCUFD9TC010438</t>
        </is>
      </c>
      <c r="H74" s="18" t="inlineStr">
        <is>
          <t>АО «Барс Авто»</t>
        </is>
      </c>
      <c r="I74" s="18" t="inlineStr">
        <is>
          <t>ONLINE АО "БАРС АВТО"</t>
        </is>
      </c>
      <c r="J74" s="18" t="inlineStr">
        <is>
          <t>МП2</t>
        </is>
      </c>
      <c r="K74" s="21" t="n">
        <v>1970000</v>
      </c>
      <c r="L74" s="22" t="n">
        <v>39400</v>
      </c>
      <c r="M74" s="22" t="n">
        <v>32295.08</v>
      </c>
      <c r="N74" s="18" t="inlineStr">
        <is>
          <t>Фокин Борис</t>
        </is>
      </c>
      <c r="O74" s="18" t="inlineStr">
        <is>
          <t>Гамаюнов Вячеслав</t>
        </is>
      </c>
    </row>
    <row r="75">
      <c r="A75" s="32" t="n">
        <v>74</v>
      </c>
      <c r="B75" s="32" t="inlineStr">
        <is>
          <t>534212</t>
        </is>
      </c>
      <c r="C75" s="32" t="inlineStr">
        <is>
          <t>30.08.2026</t>
        </is>
      </c>
      <c r="D75" s="23" t="inlineStr">
        <is>
          <t>Казань</t>
        </is>
      </c>
      <c r="E75" s="23" t="inlineStr">
        <is>
          <t>LADA</t>
        </is>
      </c>
      <c r="F75" s="23" t="inlineStr">
        <is>
          <t>VESTA</t>
        </is>
      </c>
      <c r="G75" s="32" t="inlineStr">
        <is>
          <t>XTAGFK110V1061538</t>
        </is>
      </c>
      <c r="H75" s="23" t="inlineStr">
        <is>
          <t>ГК «КАН АВТО»</t>
        </is>
      </c>
      <c r="I75" s="23" t="inlineStr">
        <is>
          <t>ООО "КАН АВТО-21" ONLINE</t>
        </is>
      </c>
      <c r="J75" s="23" t="inlineStr">
        <is>
          <t>ФДЦ</t>
        </is>
      </c>
      <c r="K75" s="26" t="n">
        <v>2095000</v>
      </c>
      <c r="L75" s="27" t="n">
        <v>31425</v>
      </c>
      <c r="M75" s="27" t="n">
        <v>25758.2</v>
      </c>
      <c r="N75" s="23" t="inlineStr">
        <is>
          <t>Бадиев Анар</t>
        </is>
      </c>
      <c r="O75" s="23" t="inlineStr">
        <is>
          <t>Москот Владислав</t>
        </is>
      </c>
    </row>
    <row r="76">
      <c r="A76" s="31" t="n">
        <v>75</v>
      </c>
      <c r="B76" s="31" t="inlineStr">
        <is>
          <t>527756</t>
        </is>
      </c>
      <c r="C76" s="31" t="inlineStr">
        <is>
          <t>23.08.2026</t>
        </is>
      </c>
      <c r="D76" s="18" t="inlineStr">
        <is>
          <t>Казань</t>
        </is>
      </c>
      <c r="E76" s="18" t="inlineStr">
        <is>
          <t>LADA</t>
        </is>
      </c>
      <c r="F76" s="18" t="inlineStr">
        <is>
          <t>GRANTA</t>
        </is>
      </c>
      <c r="G76" s="31" t="inlineStr">
        <is>
          <t>XTA219040V1276564</t>
        </is>
      </c>
      <c r="H76" s="18" t="inlineStr">
        <is>
          <t>ООО «Парус»</t>
        </is>
      </c>
      <c r="I76" s="18" t="inlineStr">
        <is>
          <t>ООО "ПАРУС" online</t>
        </is>
      </c>
      <c r="J76" s="18" t="inlineStr">
        <is>
          <t>ФДЦ</t>
        </is>
      </c>
      <c r="K76" s="21" t="n">
        <v>1133000</v>
      </c>
      <c r="L76" s="22" t="n">
        <v>16995</v>
      </c>
      <c r="M76" s="22" t="n">
        <v>13930.33</v>
      </c>
      <c r="N76" s="18" t="inlineStr">
        <is>
          <t>Григорян Михаил</t>
        </is>
      </c>
      <c r="O76" s="18" t="inlineStr">
        <is>
          <t>Москот Владислав</t>
        </is>
      </c>
    </row>
    <row r="77">
      <c r="A77" s="32" t="n">
        <v>76</v>
      </c>
      <c r="B77" s="32" t="inlineStr">
        <is>
          <t>534770</t>
        </is>
      </c>
      <c r="C77" s="32" t="inlineStr">
        <is>
          <t>31.08.2026</t>
        </is>
      </c>
      <c r="D77" s="23" t="inlineStr">
        <is>
          <t>Казань</t>
        </is>
      </c>
      <c r="E77" s="23" t="inlineStr">
        <is>
          <t>SOUEAST</t>
        </is>
      </c>
      <c r="F77" s="23" t="inlineStr">
        <is>
          <t>S06</t>
        </is>
      </c>
      <c r="G77" s="32" t="inlineStr">
        <is>
          <t>SQRF4J16CBPSK00231</t>
        </is>
      </c>
      <c r="H77" s="23" t="inlineStr">
        <is>
          <t>АО «Барс Авто»</t>
        </is>
      </c>
      <c r="I77" s="23" t="inlineStr">
        <is>
          <t>ONLINE АО "БАРС АВТО"</t>
        </is>
      </c>
      <c r="J77" s="23" t="inlineStr">
        <is>
          <t>МП2</t>
        </is>
      </c>
      <c r="K77" s="26" t="n">
        <v>2720000</v>
      </c>
      <c r="L77" s="27" t="n">
        <v>54400</v>
      </c>
      <c r="M77" s="27" t="n">
        <v>44590.16</v>
      </c>
      <c r="N77" s="23" t="inlineStr">
        <is>
          <t>Фокин Борис</t>
        </is>
      </c>
      <c r="O77" s="23" t="inlineStr">
        <is>
          <t>Гамаюнов Вячеслав</t>
        </is>
      </c>
    </row>
    <row r="78">
      <c r="A78" s="31" t="n">
        <v>77</v>
      </c>
      <c r="B78" s="31" t="inlineStr">
        <is>
          <t>534942</t>
        </is>
      </c>
      <c r="C78" s="31" t="inlineStr">
        <is>
          <t>31.08.2026</t>
        </is>
      </c>
      <c r="D78" s="18" t="inlineStr">
        <is>
          <t>Казань</t>
        </is>
      </c>
      <c r="E78" s="18" t="inlineStr">
        <is>
          <t>SOUEAST</t>
        </is>
      </c>
      <c r="F78" s="18" t="inlineStr">
        <is>
          <t>S06</t>
        </is>
      </c>
      <c r="G78" s="31" t="inlineStr">
        <is>
          <t>EC3DCUGA8TC000813</t>
        </is>
      </c>
      <c r="H78" s="18" t="inlineStr">
        <is>
          <t>ГК «КАН АВТО»</t>
        </is>
      </c>
      <c r="I78" s="18" t="inlineStr">
        <is>
          <t>ООО "КАН АВТО-5" ONLINE</t>
        </is>
      </c>
      <c r="J78" s="18" t="inlineStr">
        <is>
          <t>Передача лида</t>
        </is>
      </c>
      <c r="K78" s="21" t="n">
        <v>2650000</v>
      </c>
      <c r="L78" s="22" t="n">
        <v>53000</v>
      </c>
      <c r="M78" s="22" t="n">
        <v>43442.62</v>
      </c>
      <c r="N78" s="18" t="inlineStr">
        <is>
          <t>Яковлева Валерия</t>
        </is>
      </c>
      <c r="O78" s="18" t="inlineStr">
        <is>
          <t>Восконян Алексей</t>
        </is>
      </c>
    </row>
    <row r="79">
      <c r="A79" s="32" t="n">
        <v>78</v>
      </c>
      <c r="B79" s="32" t="inlineStr">
        <is>
          <t>529978</t>
        </is>
      </c>
      <c r="C79" s="32" t="inlineStr">
        <is>
          <t>26.08.2026</t>
        </is>
      </c>
      <c r="D79" s="23" t="inlineStr">
        <is>
          <t>Казань</t>
        </is>
      </c>
      <c r="E79" s="23" t="inlineStr">
        <is>
          <t>SOUEAST</t>
        </is>
      </c>
      <c r="F79" s="23" t="inlineStr">
        <is>
          <t>S06</t>
        </is>
      </c>
      <c r="G79" s="32" t="inlineStr">
        <is>
          <t>EC3DCUFDXTC000596</t>
        </is>
      </c>
      <c r="H79" s="23" t="inlineStr">
        <is>
          <t>ГК «Диалог Авто»</t>
        </is>
      </c>
      <c r="I79" s="23" t="inlineStr">
        <is>
          <t>Online ГК Диалог \ ООО "Управляющая компания Диалог"</t>
        </is>
      </c>
      <c r="J79" s="23" t="inlineStr">
        <is>
          <t>МП2</t>
        </is>
      </c>
      <c r="K79" s="26" t="n">
        <v>2600000</v>
      </c>
      <c r="L79" s="27" t="n">
        <v>39000</v>
      </c>
      <c r="M79" s="27" t="n">
        <v>31967.21</v>
      </c>
      <c r="N79" s="23" t="inlineStr">
        <is>
          <t>Фокин Борис</t>
        </is>
      </c>
      <c r="O79" s="23" t="inlineStr">
        <is>
          <t>Гамаюнов Вячеслав</t>
        </is>
      </c>
    </row>
    <row r="80">
      <c r="A80" s="31" t="n">
        <v>79</v>
      </c>
      <c r="B80" s="31" t="inlineStr">
        <is>
          <t>528448</t>
        </is>
      </c>
      <c r="C80" s="31" t="inlineStr">
        <is>
          <t>24.08.2026</t>
        </is>
      </c>
      <c r="D80" s="18" t="inlineStr">
        <is>
          <t>Набережные Челны</t>
        </is>
      </c>
      <c r="E80" s="18" t="inlineStr">
        <is>
          <t>CHERY &amp; TENET</t>
        </is>
      </c>
      <c r="F80" s="18" t="inlineStr">
        <is>
          <t>TENET T7</t>
        </is>
      </c>
      <c r="G80" s="31" t="inlineStr">
        <is>
          <t>EDEFB32BXTE098733</t>
        </is>
      </c>
      <c r="H80" s="18" t="inlineStr">
        <is>
          <t>ГК «Апельсин» / «Автосеть.РФ»</t>
        </is>
      </c>
      <c r="I80" s="18" t="inlineStr">
        <is>
          <t>ГК Апельсин \ Челны-Авто Чери</t>
        </is>
      </c>
      <c r="J80" s="18" t="inlineStr">
        <is>
          <t>Передача лида</t>
        </is>
      </c>
      <c r="K80" s="21" t="n">
        <v>2685000</v>
      </c>
      <c r="L80" s="22" t="n">
        <v>40275</v>
      </c>
      <c r="M80" s="22" t="n">
        <v>33012.3</v>
      </c>
      <c r="N80" s="18" t="inlineStr">
        <is>
          <t>Петров Александр</t>
        </is>
      </c>
      <c r="O80" s="18" t="inlineStr">
        <is>
          <t>Восконян Алексей</t>
        </is>
      </c>
    </row>
    <row r="81">
      <c r="A81" s="32" t="n">
        <v>80</v>
      </c>
      <c r="B81" s="32" t="inlineStr">
        <is>
          <t>537492</t>
        </is>
      </c>
      <c r="C81" s="32" t="inlineStr">
        <is>
          <t>31.08.2026</t>
        </is>
      </c>
      <c r="D81" s="23" t="inlineStr">
        <is>
          <t>Набережные Челны</t>
        </is>
      </c>
      <c r="E81" s="23" t="inlineStr">
        <is>
          <t>CHERY &amp; TENET</t>
        </is>
      </c>
      <c r="F81" s="23" t="inlineStr">
        <is>
          <t>TENET T4</t>
        </is>
      </c>
      <c r="G81" s="32" t="inlineStr">
        <is>
          <t>ЕDEЕD31B4TE024232</t>
        </is>
      </c>
      <c r="H81" s="23" t="inlineStr">
        <is>
          <t>ГК «Апельсин» / «Автосеть.РФ»</t>
        </is>
      </c>
      <c r="I81" s="23" t="inlineStr">
        <is>
          <t>ГК Апельсин \ Челны-Авто Чери</t>
        </is>
      </c>
      <c r="J81" s="23" t="inlineStr">
        <is>
          <t>Передача лида</t>
        </is>
      </c>
      <c r="K81" s="26" t="n">
        <v>2479000</v>
      </c>
      <c r="L81" s="27" t="n">
        <v>37185</v>
      </c>
      <c r="M81" s="27" t="n">
        <v>30479.51</v>
      </c>
      <c r="N81" s="23" t="inlineStr">
        <is>
          <t>Вершинин Николай</t>
        </is>
      </c>
      <c r="O81" s="23" t="inlineStr">
        <is>
          <t>Москот Владислав</t>
        </is>
      </c>
    </row>
    <row r="82">
      <c r="A82" s="31" t="n">
        <v>81</v>
      </c>
      <c r="B82" s="31" t="inlineStr">
        <is>
          <t>526714</t>
        </is>
      </c>
      <c r="C82" s="31" t="inlineStr">
        <is>
          <t>24.08.2026</t>
        </is>
      </c>
      <c r="D82" s="18" t="inlineStr">
        <is>
          <t>Набережные Челны</t>
        </is>
      </c>
      <c r="E82" s="18" t="inlineStr">
        <is>
          <t>GAC</t>
        </is>
      </c>
      <c r="F82" s="18" t="inlineStr">
        <is>
          <t>S9</t>
        </is>
      </c>
      <c r="G82" s="31" t="inlineStr">
        <is>
          <t>LMGJF3S86T1000410</t>
        </is>
      </c>
      <c r="H82" s="18" t="inlineStr">
        <is>
          <t>ГК «Диалог Авто»</t>
        </is>
      </c>
      <c r="I82" s="18" t="inlineStr">
        <is>
          <t>ONLINE ДИАЛОГ А</t>
        </is>
      </c>
      <c r="J82" s="18" t="inlineStr">
        <is>
          <t>МП2</t>
        </is>
      </c>
      <c r="K82" s="21" t="n">
        <v>6000000</v>
      </c>
      <c r="L82" s="22" t="n">
        <v>90000</v>
      </c>
      <c r="M82" s="22" t="n">
        <v>73770.49000000001</v>
      </c>
      <c r="N82" s="18" t="inlineStr">
        <is>
          <t>Фокин Борис</t>
        </is>
      </c>
      <c r="O82" s="18" t="inlineStr">
        <is>
          <t>Гамаюнов Вячеслав</t>
        </is>
      </c>
    </row>
    <row r="83">
      <c r="A83" s="32" t="n">
        <v>82</v>
      </c>
      <c r="B83" s="32" t="inlineStr">
        <is>
          <t>528186</t>
        </is>
      </c>
      <c r="C83" s="32" t="inlineStr">
        <is>
          <t>24.08.2026</t>
        </is>
      </c>
      <c r="D83" s="23" t="inlineStr">
        <is>
          <t>Набережные Челны</t>
        </is>
      </c>
      <c r="E83" s="23" t="inlineStr">
        <is>
          <t>GAC</t>
        </is>
      </c>
      <c r="F83" s="23" t="inlineStr">
        <is>
          <t>GS8</t>
        </is>
      </c>
      <c r="G83" s="32" t="inlineStr">
        <is>
          <t>LMGJU3G89T1061877</t>
        </is>
      </c>
      <c r="H83" s="23" t="inlineStr">
        <is>
          <t>ГК «Диалог Авто»</t>
        </is>
      </c>
      <c r="I83" s="23" t="inlineStr">
        <is>
          <t>Online ГК Диалог \ ООО "Управляющая компания Диалог"</t>
        </is>
      </c>
      <c r="J83" s="23" t="inlineStr">
        <is>
          <t>Передача лида</t>
        </is>
      </c>
      <c r="K83" s="26" t="n">
        <v>4630000</v>
      </c>
      <c r="L83" s="27" t="n">
        <v>69450</v>
      </c>
      <c r="M83" s="27" t="n">
        <v>56926.23</v>
      </c>
      <c r="N83" s="23" t="inlineStr">
        <is>
          <t>Сариев Тимур</t>
        </is>
      </c>
      <c r="O83" s="23" t="inlineStr">
        <is>
          <t>Москот Владислав</t>
        </is>
      </c>
    </row>
    <row r="84">
      <c r="A84" s="31" t="n">
        <v>83</v>
      </c>
      <c r="B84" s="31" t="inlineStr">
        <is>
          <t>478796</t>
        </is>
      </c>
      <c r="C84" s="31" t="inlineStr">
        <is>
          <t>04.08.2026</t>
        </is>
      </c>
      <c r="D84" s="18" t="inlineStr">
        <is>
          <t>Набережные Челны</t>
        </is>
      </c>
      <c r="E84" s="18" t="inlineStr">
        <is>
          <t>GAC</t>
        </is>
      </c>
      <c r="F84" s="18" t="inlineStr">
        <is>
          <t>GS8</t>
        </is>
      </c>
      <c r="G84" s="31" t="inlineStr">
        <is>
          <t>LMGJU3G84T1063892</t>
        </is>
      </c>
      <c r="H84" s="18" t="inlineStr">
        <is>
          <t>ГК «Диалог Авто»</t>
        </is>
      </c>
      <c r="I84" s="18" t="inlineStr">
        <is>
          <t>ONLINE ДИАЛОГ А</t>
        </is>
      </c>
      <c r="J84" s="18" t="inlineStr">
        <is>
          <t>МП2</t>
        </is>
      </c>
      <c r="K84" s="21" t="n">
        <v>4600000</v>
      </c>
      <c r="L84" s="22" t="n">
        <v>69000</v>
      </c>
      <c r="M84" s="22" t="n">
        <v>56557.38</v>
      </c>
      <c r="N84" s="18" t="inlineStr">
        <is>
          <t>Фокин Борис</t>
        </is>
      </c>
      <c r="O84" s="18" t="inlineStr">
        <is>
          <t>Гамаюнов Вячеслав</t>
        </is>
      </c>
    </row>
    <row r="85">
      <c r="A85" s="32" t="n">
        <v>84</v>
      </c>
      <c r="B85" s="32" t="inlineStr">
        <is>
          <t>535194</t>
        </is>
      </c>
      <c r="C85" s="32" t="inlineStr">
        <is>
          <t>31.08.2026</t>
        </is>
      </c>
      <c r="D85" s="23" t="inlineStr">
        <is>
          <t>Набережные Челны</t>
        </is>
      </c>
      <c r="E85" s="23" t="inlineStr">
        <is>
          <t>GAC</t>
        </is>
      </c>
      <c r="F85" s="23" t="inlineStr">
        <is>
          <t>GS8</t>
        </is>
      </c>
      <c r="G85" s="32" t="inlineStr">
        <is>
          <t>LMGJU3G80T1063971</t>
        </is>
      </c>
      <c r="H85" s="23" t="inlineStr">
        <is>
          <t>ГК «Диалог Авто»</t>
        </is>
      </c>
      <c r="I85" s="23" t="inlineStr">
        <is>
          <t>Online ГК Диалог \ ООО "Управляющая компания Диалог"</t>
        </is>
      </c>
      <c r="J85" s="23" t="inlineStr">
        <is>
          <t>МП2</t>
        </is>
      </c>
      <c r="K85" s="26" t="n">
        <v>4220000</v>
      </c>
      <c r="L85" s="27" t="n">
        <v>63300</v>
      </c>
      <c r="M85" s="27" t="n">
        <v>51885.25</v>
      </c>
      <c r="N85" s="23" t="inlineStr">
        <is>
          <t>Фокин Борис</t>
        </is>
      </c>
      <c r="O85" s="23" t="inlineStr">
        <is>
          <t>Гамаюнов Вячеслав</t>
        </is>
      </c>
    </row>
    <row r="86">
      <c r="A86" s="31" t="n">
        <v>85</v>
      </c>
      <c r="B86" s="31" t="inlineStr">
        <is>
          <t>530128</t>
        </is>
      </c>
      <c r="C86" s="31" t="inlineStr">
        <is>
          <t>28.08.2026</t>
        </is>
      </c>
      <c r="D86" s="18" t="inlineStr">
        <is>
          <t>Набережные Челны</t>
        </is>
      </c>
      <c r="E86" s="18" t="inlineStr">
        <is>
          <t>GAC</t>
        </is>
      </c>
      <c r="F86" s="18" t="inlineStr">
        <is>
          <t>GS8</t>
        </is>
      </c>
      <c r="G86" s="31" t="inlineStr">
        <is>
          <t>LMGJU3G55T1067858</t>
        </is>
      </c>
      <c r="H86" s="18" t="inlineStr">
        <is>
          <t>ГК «Диалог Авто»</t>
        </is>
      </c>
      <c r="I86" s="18" t="inlineStr">
        <is>
          <t>ONLINE ДИАЛОГ А</t>
        </is>
      </c>
      <c r="J86" s="18" t="inlineStr">
        <is>
          <t>МП2</t>
        </is>
      </c>
      <c r="K86" s="21" t="n">
        <v>4000000</v>
      </c>
      <c r="L86" s="22" t="n">
        <v>60000</v>
      </c>
      <c r="M86" s="22" t="n">
        <v>49180.33</v>
      </c>
      <c r="N86" s="18" t="inlineStr">
        <is>
          <t>Фокин Борис</t>
        </is>
      </c>
      <c r="O86" s="18" t="inlineStr">
        <is>
          <t>Гамаюнов Вячеслав</t>
        </is>
      </c>
    </row>
    <row r="87">
      <c r="A87" s="32" t="n">
        <v>86</v>
      </c>
      <c r="B87" s="32" t="inlineStr">
        <is>
          <t>498262</t>
        </is>
      </c>
      <c r="C87" s="32" t="inlineStr">
        <is>
          <t>31.08.2026</t>
        </is>
      </c>
      <c r="D87" s="23" t="inlineStr">
        <is>
          <t>Набережные Челны</t>
        </is>
      </c>
      <c r="E87" s="23" t="inlineStr">
        <is>
          <t>Geely &amp; Belgee</t>
        </is>
      </c>
      <c r="F87" s="23" t="inlineStr">
        <is>
          <t>GEELY MONJARO</t>
        </is>
      </c>
      <c r="G87" s="32" t="inlineStr">
        <is>
          <t>LB37852DXTS062010</t>
        </is>
      </c>
      <c r="H87" s="23" t="inlineStr">
        <is>
          <t>ГК «Диалог Авто»</t>
        </is>
      </c>
      <c r="I87" s="23" t="inlineStr">
        <is>
          <t>Online ГК Диалог \ ООО "Управляющая компания Диалог"</t>
        </is>
      </c>
      <c r="J87" s="23" t="inlineStr">
        <is>
          <t>МП2</t>
        </is>
      </c>
      <c r="K87" s="26" t="n">
        <v>4570000</v>
      </c>
      <c r="L87" s="27" t="n">
        <v>68550</v>
      </c>
      <c r="M87" s="27" t="n">
        <v>56188.52</v>
      </c>
      <c r="N87" s="23" t="inlineStr">
        <is>
          <t>Фокин Борис</t>
        </is>
      </c>
      <c r="O87" s="23" t="inlineStr">
        <is>
          <t>Гамаюнов Вячеслав</t>
        </is>
      </c>
    </row>
    <row r="88">
      <c r="A88" s="31" t="n">
        <v>87</v>
      </c>
      <c r="B88" s="31" t="inlineStr">
        <is>
          <t>525938</t>
        </is>
      </c>
      <c r="C88" s="31" t="inlineStr">
        <is>
          <t>31.08.2026</t>
        </is>
      </c>
      <c r="D88" s="18" t="inlineStr">
        <is>
          <t>Набережные Челны</t>
        </is>
      </c>
      <c r="E88" s="18" t="inlineStr">
        <is>
          <t>Geely &amp; Belgee</t>
        </is>
      </c>
      <c r="F88" s="18" t="inlineStr">
        <is>
          <t>GEELY MONJARO</t>
        </is>
      </c>
      <c r="G88" s="31" t="inlineStr">
        <is>
          <t>LB37852D3TS043699</t>
        </is>
      </c>
      <c r="H88" s="18" t="inlineStr">
        <is>
          <t>ГК «Диалог Авто»</t>
        </is>
      </c>
      <c r="I88" s="18" t="inlineStr">
        <is>
          <t>ONLINE ООО "ДИАЛОГ АВТО"</t>
        </is>
      </c>
      <c r="J88" s="18" t="inlineStr">
        <is>
          <t>МП2</t>
        </is>
      </c>
      <c r="K88" s="21" t="n">
        <v>4490000</v>
      </c>
      <c r="L88" s="22" t="n">
        <v>67350</v>
      </c>
      <c r="M88" s="22" t="n">
        <v>55204.92</v>
      </c>
      <c r="N88" s="18" t="inlineStr">
        <is>
          <t>Фокин Борис</t>
        </is>
      </c>
      <c r="O88" s="18" t="inlineStr">
        <is>
          <t>Гамаюнов Вячеслав</t>
        </is>
      </c>
    </row>
    <row r="89">
      <c r="A89" s="32" t="n">
        <v>88</v>
      </c>
      <c r="B89" s="32" t="inlineStr">
        <is>
          <t>524518</t>
        </is>
      </c>
      <c r="C89" s="32" t="inlineStr">
        <is>
          <t>19.08.2026</t>
        </is>
      </c>
      <c r="D89" s="23" t="inlineStr">
        <is>
          <t>Набережные Челны</t>
        </is>
      </c>
      <c r="E89" s="23" t="inlineStr">
        <is>
          <t>Geely &amp; Belgee</t>
        </is>
      </c>
      <c r="F89" s="23" t="inlineStr">
        <is>
          <t>GEELY CITYRAY</t>
        </is>
      </c>
      <c r="G89" s="32" t="inlineStr">
        <is>
          <t>LB3G43S99TX408062</t>
        </is>
      </c>
      <c r="H89" s="23" t="inlineStr">
        <is>
          <t>ГК «Диалог Авто»</t>
        </is>
      </c>
      <c r="I89" s="23" t="inlineStr">
        <is>
          <t>Online ГК Диалог \ ООО "Управляющая компания Диалог"</t>
        </is>
      </c>
      <c r="J89" s="23" t="inlineStr">
        <is>
          <t>МП2</t>
        </is>
      </c>
      <c r="K89" s="26" t="n">
        <v>3171990</v>
      </c>
      <c r="L89" s="27" t="n">
        <v>47579.85</v>
      </c>
      <c r="M89" s="27" t="n">
        <v>38999.88</v>
      </c>
      <c r="N89" s="23" t="inlineStr">
        <is>
          <t>Фокин Борис</t>
        </is>
      </c>
      <c r="O89" s="23" t="inlineStr">
        <is>
          <t>Гамаюнов Вячеслав</t>
        </is>
      </c>
    </row>
    <row r="90">
      <c r="A90" s="31" t="n">
        <v>89</v>
      </c>
      <c r="B90" s="31" t="inlineStr">
        <is>
          <t>510934</t>
        </is>
      </c>
      <c r="C90" s="31" t="inlineStr">
        <is>
          <t>08.08.2026</t>
        </is>
      </c>
      <c r="D90" s="18" t="inlineStr">
        <is>
          <t>Набережные Челны</t>
        </is>
      </c>
      <c r="E90" s="18" t="inlineStr">
        <is>
          <t>Geely &amp; Belgee</t>
        </is>
      </c>
      <c r="F90" s="18" t="inlineStr">
        <is>
          <t>GEELY CITYRAY</t>
        </is>
      </c>
      <c r="G90" s="31" t="inlineStr">
        <is>
          <t>LB3G43S93TX409353</t>
        </is>
      </c>
      <c r="H90" s="18" t="inlineStr">
        <is>
          <t>ГК «Диалог Авто»</t>
        </is>
      </c>
      <c r="I90" s="18" t="inlineStr">
        <is>
          <t>Online ГК Диалог \ ООО "Управляющая компания Диалог"</t>
        </is>
      </c>
      <c r="J90" s="18" t="inlineStr">
        <is>
          <t>МП2</t>
        </is>
      </c>
      <c r="K90" s="21" t="n">
        <v>3050000</v>
      </c>
      <c r="L90" s="22" t="n">
        <v>45750</v>
      </c>
      <c r="M90" s="22" t="n">
        <v>37500</v>
      </c>
      <c r="N90" s="18" t="inlineStr">
        <is>
          <t>Фокин Борис</t>
        </is>
      </c>
      <c r="O90" s="18" t="inlineStr">
        <is>
          <t>Гамаюнов Вячеслав</t>
        </is>
      </c>
    </row>
    <row r="91">
      <c r="A91" s="32" t="n">
        <v>90</v>
      </c>
      <c r="B91" s="32" t="inlineStr">
        <is>
          <t>506684</t>
        </is>
      </c>
      <c r="C91" s="32" t="inlineStr">
        <is>
          <t>26.08.2026</t>
        </is>
      </c>
      <c r="D91" s="23" t="inlineStr">
        <is>
          <t>Набережные Челны</t>
        </is>
      </c>
      <c r="E91" s="23" t="inlineStr">
        <is>
          <t>JETOUR</t>
        </is>
      </c>
      <c r="F91" s="23" t="inlineStr">
        <is>
          <t>Т2</t>
        </is>
      </c>
      <c r="G91" s="32" t="inlineStr">
        <is>
          <t>EC3TDUMA3T0004282</t>
        </is>
      </c>
      <c r="H91" s="23" t="inlineStr">
        <is>
          <t>ГК «Апельсин» / «Автосеть.РФ»</t>
        </is>
      </c>
      <c r="I91" s="23" t="inlineStr">
        <is>
          <t>ГК Апельсин \ Челны-Авто Чери</t>
        </is>
      </c>
      <c r="J91" s="23" t="inlineStr">
        <is>
          <t>МП2</t>
        </is>
      </c>
      <c r="K91" s="26" t="n">
        <v>4170000</v>
      </c>
      <c r="L91" s="27" t="n">
        <v>83400</v>
      </c>
      <c r="M91" s="27" t="n">
        <v>68360.66</v>
      </c>
      <c r="N91" s="23" t="inlineStr">
        <is>
          <t>Фокин Борис</t>
        </is>
      </c>
      <c r="O91" s="23" t="inlineStr">
        <is>
          <t>Гамаюнов Вячеслав</t>
        </is>
      </c>
    </row>
    <row r="92">
      <c r="A92" s="31" t="n">
        <v>91</v>
      </c>
      <c r="B92" s="31" t="inlineStr">
        <is>
          <t>525176</t>
        </is>
      </c>
      <c r="C92" s="31" t="inlineStr">
        <is>
          <t>20.08.2026</t>
        </is>
      </c>
      <c r="D92" s="18" t="inlineStr">
        <is>
          <t>Набережные Челны</t>
        </is>
      </c>
      <c r="E92" s="18" t="inlineStr">
        <is>
          <t>JETOUR</t>
        </is>
      </c>
      <c r="F92" s="18" t="inlineStr">
        <is>
          <t>T1</t>
        </is>
      </c>
      <c r="G92" s="31" t="inlineStr">
        <is>
          <t>LVTDD24B4TDB72480</t>
        </is>
      </c>
      <c r="H92" s="18" t="inlineStr">
        <is>
          <t>ГК «Апельсин» / «Автосеть.РФ»</t>
        </is>
      </c>
      <c r="I92" s="18" t="inlineStr">
        <is>
          <t>ГК Апельсин \ Челны-Авто Чери</t>
        </is>
      </c>
      <c r="J92" s="18" t="inlineStr">
        <is>
          <t>МП2</t>
        </is>
      </c>
      <c r="K92" s="21" t="n">
        <v>3670000</v>
      </c>
      <c r="L92" s="22" t="n">
        <v>73400</v>
      </c>
      <c r="M92" s="22" t="n">
        <v>60163.93</v>
      </c>
      <c r="N92" s="18" t="inlineStr">
        <is>
          <t>Фокин Борис</t>
        </is>
      </c>
      <c r="O92" s="18" t="inlineStr">
        <is>
          <t>Гамаюнов Вячеслав</t>
        </is>
      </c>
    </row>
    <row r="93">
      <c r="A93" s="32" t="n">
        <v>92</v>
      </c>
      <c r="B93" s="32" t="inlineStr">
        <is>
          <t>523422</t>
        </is>
      </c>
      <c r="C93" s="32" t="inlineStr">
        <is>
          <t>18.08.2026</t>
        </is>
      </c>
      <c r="D93" s="23" t="inlineStr">
        <is>
          <t>Набережные Челны</t>
        </is>
      </c>
      <c r="E93" s="23" t="inlineStr">
        <is>
          <t>JETOUR</t>
        </is>
      </c>
      <c r="F93" s="23" t="inlineStr">
        <is>
          <t>DASHING</t>
        </is>
      </c>
      <c r="G93" s="32" t="inlineStr">
        <is>
          <t>EC3DCUFD4TC016101</t>
        </is>
      </c>
      <c r="H93" s="23" t="inlineStr">
        <is>
          <t>ГК «Диалог Авто»</t>
        </is>
      </c>
      <c r="I93" s="23" t="inlineStr">
        <is>
          <t>Online ГК Диалог \ ООО "Управляющая компания Диалог"</t>
        </is>
      </c>
      <c r="J93" s="23" t="inlineStr">
        <is>
          <t>Передача лида</t>
        </is>
      </c>
      <c r="K93" s="26" t="n">
        <v>2509900</v>
      </c>
      <c r="L93" s="27" t="n">
        <v>37648.5</v>
      </c>
      <c r="M93" s="27" t="n">
        <v>30859.43</v>
      </c>
      <c r="N93" s="23" t="inlineStr">
        <is>
          <t>Воронин Алексей</t>
        </is>
      </c>
      <c r="O93" s="23" t="inlineStr">
        <is>
          <t>Восконян Алексей</t>
        </is>
      </c>
    </row>
    <row r="94">
      <c r="A94" s="31" t="n">
        <v>93</v>
      </c>
      <c r="B94" s="31" t="inlineStr">
        <is>
          <t>527358</t>
        </is>
      </c>
      <c r="C94" s="31" t="inlineStr">
        <is>
          <t>28.08.2026</t>
        </is>
      </c>
      <c r="D94" s="18" t="inlineStr">
        <is>
          <t>Набережные Челны</t>
        </is>
      </c>
      <c r="E94" s="18" t="inlineStr">
        <is>
          <t>JETOUR</t>
        </is>
      </c>
      <c r="F94" s="18" t="inlineStr">
        <is>
          <t>DASHING</t>
        </is>
      </c>
      <c r="G94" s="31" t="inlineStr">
        <is>
          <t>EC3DLUFD2TC013052</t>
        </is>
      </c>
      <c r="H94" s="18" t="inlineStr">
        <is>
          <t>ГК «Диалог Авто»</t>
        </is>
      </c>
      <c r="I94" s="18" t="inlineStr">
        <is>
          <t>Online ГК Диалог \ ООО "Управляющая компания Диалог"</t>
        </is>
      </c>
      <c r="J94" s="18" t="inlineStr">
        <is>
          <t>МП2</t>
        </is>
      </c>
      <c r="K94" s="21" t="n">
        <v>2460000</v>
      </c>
      <c r="L94" s="22" t="n">
        <v>36750</v>
      </c>
      <c r="M94" s="22" t="n">
        <v>30122.95</v>
      </c>
      <c r="N94" s="18" t="inlineStr">
        <is>
          <t>Фокин Борис</t>
        </is>
      </c>
      <c r="O94" s="18" t="inlineStr">
        <is>
          <t>Гамаюнов Вячеслав</t>
        </is>
      </c>
    </row>
    <row r="95">
      <c r="A95" s="32" t="n">
        <v>94</v>
      </c>
      <c r="B95" s="32" t="inlineStr">
        <is>
          <t>510754</t>
        </is>
      </c>
      <c r="C95" s="32" t="inlineStr">
        <is>
          <t>08.08.2026</t>
        </is>
      </c>
      <c r="D95" s="23" t="inlineStr">
        <is>
          <t>Набережные Челны</t>
        </is>
      </c>
      <c r="E95" s="23" t="inlineStr">
        <is>
          <t>JETOUR</t>
        </is>
      </c>
      <c r="F95" s="23" t="inlineStr">
        <is>
          <t>Х70+</t>
        </is>
      </c>
      <c r="G95" s="32" t="inlineStr">
        <is>
          <t>EC37LUSM1TC005740</t>
        </is>
      </c>
      <c r="H95" s="23" t="inlineStr">
        <is>
          <t>ГК «Апельсин» / «Автосеть.РФ»</t>
        </is>
      </c>
      <c r="I95" s="23" t="inlineStr">
        <is>
          <t>ГК Апельсин \ Челны-Авто Чери</t>
        </is>
      </c>
      <c r="J95" s="23" t="inlineStr">
        <is>
          <t>МП2</t>
        </is>
      </c>
      <c r="K95" s="26" t="n">
        <v>2460000</v>
      </c>
      <c r="L95" s="27" t="n">
        <v>49200</v>
      </c>
      <c r="M95" s="27" t="n">
        <v>40327.87</v>
      </c>
      <c r="N95" s="23" t="inlineStr">
        <is>
          <t>Фокин Борис</t>
        </is>
      </c>
      <c r="O95" s="23" t="inlineStr">
        <is>
          <t>Гамаюнов Вячеслав</t>
        </is>
      </c>
    </row>
    <row r="96">
      <c r="A96" s="31" t="n">
        <v>95</v>
      </c>
      <c r="B96" s="31" t="inlineStr">
        <is>
          <t>524586</t>
        </is>
      </c>
      <c r="C96" s="31" t="inlineStr">
        <is>
          <t>20.08.2026</t>
        </is>
      </c>
      <c r="D96" s="18" t="inlineStr">
        <is>
          <t>Набережные Челны</t>
        </is>
      </c>
      <c r="E96" s="18" t="inlineStr">
        <is>
          <t>JETOUR</t>
        </is>
      </c>
      <c r="F96" s="18" t="inlineStr">
        <is>
          <t>X70PLUS</t>
        </is>
      </c>
      <c r="G96" s="31" t="inlineStr">
        <is>
          <t>EC37CUSM8TC006027</t>
        </is>
      </c>
      <c r="H96" s="18" t="inlineStr">
        <is>
          <t>ГК «Диалог Авто»</t>
        </is>
      </c>
      <c r="I96" s="18" t="inlineStr">
        <is>
          <t>Online ГК Диалог \ ООО "Управляющая компания Диалог"</t>
        </is>
      </c>
      <c r="J96" s="18" t="inlineStr">
        <is>
          <t>МП2</t>
        </is>
      </c>
      <c r="K96" s="21" t="n">
        <v>2400000</v>
      </c>
      <c r="L96" s="22" t="n">
        <v>36000</v>
      </c>
      <c r="M96" s="22" t="n">
        <v>29508.2</v>
      </c>
      <c r="N96" s="18" t="inlineStr">
        <is>
          <t>Фокин Борис</t>
        </is>
      </c>
      <c r="O96" s="18" t="inlineStr">
        <is>
          <t>Гамаюнов Вячеслав</t>
        </is>
      </c>
    </row>
    <row r="97">
      <c r="A97" s="32" t="n">
        <v>96</v>
      </c>
      <c r="B97" s="32" t="inlineStr">
        <is>
          <t>518842</t>
        </is>
      </c>
      <c r="C97" s="32" t="inlineStr">
        <is>
          <t>17.08.2026</t>
        </is>
      </c>
      <c r="D97" s="23" t="inlineStr">
        <is>
          <t>Набережные Челны</t>
        </is>
      </c>
      <c r="E97" s="23" t="inlineStr">
        <is>
          <t>JETOUR</t>
        </is>
      </c>
      <c r="F97" s="23" t="inlineStr">
        <is>
          <t>X70PLUS</t>
        </is>
      </c>
      <c r="G97" s="32" t="inlineStr">
        <is>
          <t>EC37CUSM8TC006187</t>
        </is>
      </c>
      <c r="H97" s="23" t="inlineStr">
        <is>
          <t>ГК «Диалог Авто»</t>
        </is>
      </c>
      <c r="I97" s="23" t="inlineStr">
        <is>
          <t>Online ГК Диалог \ ООО "Управляющая компания Диалог"</t>
        </is>
      </c>
      <c r="J97" s="23" t="inlineStr">
        <is>
          <t>МП2</t>
        </is>
      </c>
      <c r="K97" s="26" t="n">
        <v>2390000</v>
      </c>
      <c r="L97" s="27" t="n">
        <v>35850</v>
      </c>
      <c r="M97" s="27" t="n">
        <v>29385.25</v>
      </c>
      <c r="N97" s="23" t="inlineStr">
        <is>
          <t>Фокин Борис</t>
        </is>
      </c>
      <c r="O97" s="23" t="inlineStr">
        <is>
          <t>Гамаюнов Вячеслав</t>
        </is>
      </c>
    </row>
    <row r="98">
      <c r="A98" s="31" t="n">
        <v>97</v>
      </c>
      <c r="B98" s="31" t="inlineStr">
        <is>
          <t>508300</t>
        </is>
      </c>
      <c r="C98" s="31" t="inlineStr">
        <is>
          <t>05.08.2026</t>
        </is>
      </c>
      <c r="D98" s="18" t="inlineStr">
        <is>
          <t>Набережные Челны</t>
        </is>
      </c>
      <c r="E98" s="18" t="inlineStr">
        <is>
          <t>JETOUR</t>
        </is>
      </c>
      <c r="F98" s="18" t="inlineStr">
        <is>
          <t>X70PLUS</t>
        </is>
      </c>
      <c r="G98" s="31" t="inlineStr">
        <is>
          <t>EC37CUSM5TC006180</t>
        </is>
      </c>
      <c r="H98" s="18" t="inlineStr">
        <is>
          <t>ГК «Диалог Авто»</t>
        </is>
      </c>
      <c r="I98" s="18" t="inlineStr">
        <is>
          <t>Online ГК Диалог \ ООО "Управляющая компания Диалог"</t>
        </is>
      </c>
      <c r="J98" s="18" t="inlineStr">
        <is>
          <t>ФДЦ</t>
        </is>
      </c>
      <c r="K98" s="21" t="n">
        <v>2310000</v>
      </c>
      <c r="L98" s="22" t="n">
        <v>34650</v>
      </c>
      <c r="M98" s="22" t="n">
        <v>28401.64</v>
      </c>
      <c r="N98" s="18" t="inlineStr">
        <is>
          <t>Бадиев Анар</t>
        </is>
      </c>
      <c r="O98" s="18" t="inlineStr">
        <is>
          <t>Москот Владислав</t>
        </is>
      </c>
    </row>
    <row r="99">
      <c r="A99" s="32" t="n">
        <v>98</v>
      </c>
      <c r="B99" s="32" t="inlineStr">
        <is>
          <t>509292</t>
        </is>
      </c>
      <c r="C99" s="32" t="inlineStr">
        <is>
          <t>06.08.2026</t>
        </is>
      </c>
      <c r="D99" s="23" t="inlineStr">
        <is>
          <t>Набережные Челны</t>
        </is>
      </c>
      <c r="E99" s="23" t="inlineStr">
        <is>
          <t>JETOUR</t>
        </is>
      </c>
      <c r="F99" s="23" t="inlineStr">
        <is>
          <t>X70+</t>
        </is>
      </c>
      <c r="G99" s="32" t="inlineStr">
        <is>
          <t>EC37CUSM9TC006O36</t>
        </is>
      </c>
      <c r="H99" s="23" t="inlineStr">
        <is>
          <t>ГК «Апельсин» / «Автосеть.РФ»</t>
        </is>
      </c>
      <c r="I99" s="23" t="inlineStr">
        <is>
          <t>ГК Апельсин \ Челны-Авто Чери</t>
        </is>
      </c>
      <c r="J99" s="23" t="inlineStr">
        <is>
          <t>Online</t>
        </is>
      </c>
      <c r="K99" s="26" t="n">
        <v>2293300</v>
      </c>
      <c r="L99" s="27" t="n">
        <v>45866</v>
      </c>
      <c r="M99" s="27" t="n">
        <v>37595.08</v>
      </c>
      <c r="N99" s="23" t="inlineStr">
        <is>
          <t>Воронин Ян</t>
        </is>
      </c>
      <c r="O99" s="23" t="inlineStr">
        <is>
          <t>Москот Владислав</t>
        </is>
      </c>
    </row>
    <row r="100">
      <c r="A100" s="31" t="n">
        <v>99</v>
      </c>
      <c r="B100" s="31" t="inlineStr">
        <is>
          <t>525446</t>
        </is>
      </c>
      <c r="C100" s="31" t="inlineStr">
        <is>
          <t>20.08.2026</t>
        </is>
      </c>
      <c r="D100" s="18" t="inlineStr">
        <is>
          <t>Набережные Челны</t>
        </is>
      </c>
      <c r="E100" s="18" t="inlineStr">
        <is>
          <t>JETOUR</t>
        </is>
      </c>
      <c r="F100" s="18" t="inlineStr">
        <is>
          <t>Х70+</t>
        </is>
      </c>
      <c r="G100" s="31" t="inlineStr">
        <is>
          <t>EC37CUSM1TC005768</t>
        </is>
      </c>
      <c r="H100" s="18" t="inlineStr">
        <is>
          <t>ГК «Апельсин» / «Автосеть.РФ»</t>
        </is>
      </c>
      <c r="I100" s="18" t="inlineStr">
        <is>
          <t>ГК Апельсин \ Челны-Авто Чери</t>
        </is>
      </c>
      <c r="J100" s="18" t="inlineStr">
        <is>
          <t>МП2</t>
        </is>
      </c>
      <c r="K100" s="21" t="n">
        <v>2290000</v>
      </c>
      <c r="L100" s="22" t="n">
        <v>45800</v>
      </c>
      <c r="M100" s="22" t="n">
        <v>37540.98</v>
      </c>
      <c r="N100" s="18" t="inlineStr">
        <is>
          <t>Фокин Борис</t>
        </is>
      </c>
      <c r="O100" s="18" t="inlineStr">
        <is>
          <t>Гамаюнов Вячеслав</t>
        </is>
      </c>
    </row>
    <row r="101">
      <c r="A101" s="32" t="n">
        <v>100</v>
      </c>
      <c r="B101" s="32" t="inlineStr">
        <is>
          <t>517586</t>
        </is>
      </c>
      <c r="C101" s="32" t="inlineStr">
        <is>
          <t>15.08.2026</t>
        </is>
      </c>
      <c r="D101" s="23" t="inlineStr">
        <is>
          <t>Набережные Челны</t>
        </is>
      </c>
      <c r="E101" s="23" t="inlineStr">
        <is>
          <t>JETOUR</t>
        </is>
      </c>
      <c r="F101" s="23" t="inlineStr">
        <is>
          <t>X70PLUS</t>
        </is>
      </c>
      <c r="G101" s="32" t="inlineStr">
        <is>
          <t>EC37CUSMXTC005994</t>
        </is>
      </c>
      <c r="H101" s="23" t="inlineStr">
        <is>
          <t>ГК «Диалог Авто»</t>
        </is>
      </c>
      <c r="I101" s="23" t="inlineStr">
        <is>
          <t>Online ГК Диалог \ ООО "Управляющая компания Диалог"</t>
        </is>
      </c>
      <c r="J101" s="23" t="inlineStr">
        <is>
          <t>МП2</t>
        </is>
      </c>
      <c r="K101" s="26" t="n">
        <v>2290000</v>
      </c>
      <c r="L101" s="27" t="n">
        <v>34350</v>
      </c>
      <c r="M101" s="27" t="n">
        <v>28155.74</v>
      </c>
      <c r="N101" s="23" t="inlineStr">
        <is>
          <t>Фокин Борис</t>
        </is>
      </c>
      <c r="O101" s="23" t="inlineStr">
        <is>
          <t>Гамаюнов Вячеслав</t>
        </is>
      </c>
    </row>
    <row r="102">
      <c r="A102" s="31" t="n">
        <v>101</v>
      </c>
      <c r="B102" s="31" t="inlineStr">
        <is>
          <t>517230</t>
        </is>
      </c>
      <c r="C102" s="31" t="inlineStr">
        <is>
          <t>15.08.2026</t>
        </is>
      </c>
      <c r="D102" s="18" t="inlineStr">
        <is>
          <t>Набережные Челны</t>
        </is>
      </c>
      <c r="E102" s="18" t="inlineStr">
        <is>
          <t>JETOUR</t>
        </is>
      </c>
      <c r="F102" s="18" t="inlineStr">
        <is>
          <t>X70PLUS</t>
        </is>
      </c>
      <c r="G102" s="31" t="inlineStr">
        <is>
          <t>EC37CUSM3TC007084</t>
        </is>
      </c>
      <c r="H102" s="18" t="inlineStr">
        <is>
          <t>ГК «Диалог Авто»</t>
        </is>
      </c>
      <c r="I102" s="18" t="inlineStr">
        <is>
          <t>Online ГК Диалог \ ООО "Управляющая компания Диалог"</t>
        </is>
      </c>
      <c r="J102" s="18" t="inlineStr">
        <is>
          <t>ФДЦ</t>
        </is>
      </c>
      <c r="K102" s="21" t="n">
        <v>2290000</v>
      </c>
      <c r="L102" s="22" t="n">
        <v>34350</v>
      </c>
      <c r="M102" s="22" t="n">
        <v>28155.74</v>
      </c>
      <c r="N102" s="18" t="inlineStr">
        <is>
          <t>Бадиев Анар</t>
        </is>
      </c>
      <c r="O102" s="18" t="inlineStr">
        <is>
          <t>Москот Владислав</t>
        </is>
      </c>
    </row>
    <row r="103">
      <c r="A103" s="32" t="n">
        <v>102</v>
      </c>
      <c r="B103" s="32" t="inlineStr">
        <is>
          <t>526242</t>
        </is>
      </c>
      <c r="C103" s="32" t="inlineStr">
        <is>
          <t>22.08.2026</t>
        </is>
      </c>
      <c r="D103" s="23" t="inlineStr">
        <is>
          <t>Набережные Челны</t>
        </is>
      </c>
      <c r="E103" s="23" t="inlineStr">
        <is>
          <t>JETOUR</t>
        </is>
      </c>
      <c r="F103" s="23" t="inlineStr">
        <is>
          <t>X70PLUS</t>
        </is>
      </c>
      <c r="G103" s="32" t="inlineStr">
        <is>
          <t>EC37CUSM5TC006762</t>
        </is>
      </c>
      <c r="H103" s="23" t="inlineStr">
        <is>
          <t>ГК «Диалог Авто»</t>
        </is>
      </c>
      <c r="I103" s="23" t="inlineStr">
        <is>
          <t>Online ГК Диалог \ ООО "Управляющая компания Диалог"</t>
        </is>
      </c>
      <c r="J103" s="23" t="inlineStr">
        <is>
          <t>МП2</t>
        </is>
      </c>
      <c r="K103" s="26" t="n">
        <v>2288999</v>
      </c>
      <c r="L103" s="27" t="n">
        <v>34334.99</v>
      </c>
      <c r="M103" s="27" t="n">
        <v>28143.43</v>
      </c>
      <c r="N103" s="23" t="inlineStr">
        <is>
          <t>Фокин Борис</t>
        </is>
      </c>
      <c r="O103" s="23" t="inlineStr">
        <is>
          <t>Гамаюнов Вячеслав</t>
        </is>
      </c>
    </row>
    <row r="104">
      <c r="A104" s="31" t="n">
        <v>103</v>
      </c>
      <c r="B104" s="31" t="inlineStr">
        <is>
          <t>506796</t>
        </is>
      </c>
      <c r="C104" s="31" t="inlineStr">
        <is>
          <t>03.08.2026</t>
        </is>
      </c>
      <c r="D104" s="18" t="inlineStr">
        <is>
          <t>Набережные Челны</t>
        </is>
      </c>
      <c r="E104" s="18" t="inlineStr">
        <is>
          <t>JETOUR</t>
        </is>
      </c>
      <c r="F104" s="18" t="inlineStr">
        <is>
          <t>X70+</t>
        </is>
      </c>
      <c r="G104" s="31" t="inlineStr">
        <is>
          <t>EC37CUSM6TC006091</t>
        </is>
      </c>
      <c r="H104" s="18" t="inlineStr">
        <is>
          <t>ГК «Диалог Авто»</t>
        </is>
      </c>
      <c r="I104" s="18" t="inlineStr">
        <is>
          <t>Online ГК Диалог \ ООО "Управляющая компания Диалог"</t>
        </is>
      </c>
      <c r="J104" s="18" t="inlineStr">
        <is>
          <t>МП3</t>
        </is>
      </c>
      <c r="K104" s="21" t="n">
        <v>2170000</v>
      </c>
      <c r="L104" s="22" t="n">
        <v>32550</v>
      </c>
      <c r="M104" s="22" t="n">
        <v>26680.33</v>
      </c>
      <c r="N104" s="18" t="inlineStr">
        <is>
          <t>Фокин Борис</t>
        </is>
      </c>
      <c r="O104" s="18" t="inlineStr">
        <is>
          <t>Гамаюнов Вячеслав</t>
        </is>
      </c>
    </row>
    <row r="105">
      <c r="A105" s="32" t="n">
        <v>104</v>
      </c>
      <c r="B105" s="32" t="inlineStr">
        <is>
          <t>529412</t>
        </is>
      </c>
      <c r="C105" s="32" t="inlineStr">
        <is>
          <t>25.08.2026</t>
        </is>
      </c>
      <c r="D105" s="23" t="inlineStr">
        <is>
          <t>Набережные Челны</t>
        </is>
      </c>
      <c r="E105" s="23" t="inlineStr">
        <is>
          <t>JETOUR</t>
        </is>
      </c>
      <c r="F105" s="23" t="inlineStr">
        <is>
          <t>DASHING</t>
        </is>
      </c>
      <c r="G105" s="32" t="inlineStr">
        <is>
          <t>EC3DCUFD6TC015676</t>
        </is>
      </c>
      <c r="H105" s="23" t="inlineStr">
        <is>
          <t>ГК «Диалог Авто»</t>
        </is>
      </c>
      <c r="I105" s="23" t="inlineStr">
        <is>
          <t>Online ГК Диалог \ ООО "Управляющая компания Диалог"</t>
        </is>
      </c>
      <c r="J105" s="23" t="inlineStr">
        <is>
          <t>МП2</t>
        </is>
      </c>
      <c r="K105" s="26" t="n">
        <v>2115000</v>
      </c>
      <c r="L105" s="27" t="n">
        <v>31725</v>
      </c>
      <c r="M105" s="27" t="n">
        <v>26004.1</v>
      </c>
      <c r="N105" s="23" t="inlineStr">
        <is>
          <t>Фокин Борис</t>
        </is>
      </c>
      <c r="O105" s="23" t="inlineStr">
        <is>
          <t>Гамаюнов Вячеслав</t>
        </is>
      </c>
    </row>
    <row r="106">
      <c r="A106" s="31" t="n">
        <v>105</v>
      </c>
      <c r="B106" s="31" t="inlineStr">
        <is>
          <t>536086</t>
        </is>
      </c>
      <c r="C106" s="31" t="inlineStr">
        <is>
          <t>31.08.2026</t>
        </is>
      </c>
      <c r="D106" s="18" t="inlineStr">
        <is>
          <t>Набережные Челны</t>
        </is>
      </c>
      <c r="E106" s="18" t="inlineStr">
        <is>
          <t>JETOUR</t>
        </is>
      </c>
      <c r="F106" s="18" t="inlineStr">
        <is>
          <t>DASHING</t>
        </is>
      </c>
      <c r="G106" s="31" t="inlineStr">
        <is>
          <t>EC3DCUFD1TC016198</t>
        </is>
      </c>
      <c r="H106" s="18" t="inlineStr">
        <is>
          <t>ГК «Диалог Авто»</t>
        </is>
      </c>
      <c r="I106" s="18" t="inlineStr">
        <is>
          <t>Online ГК Диалог \ ООО "Управляющая компания Диалог"</t>
        </is>
      </c>
      <c r="J106" s="18" t="inlineStr">
        <is>
          <t>МП2</t>
        </is>
      </c>
      <c r="K106" s="21" t="n">
        <v>2100000</v>
      </c>
      <c r="L106" s="22" t="n">
        <v>31500</v>
      </c>
      <c r="M106" s="22" t="n">
        <v>25819.67</v>
      </c>
      <c r="N106" s="18" t="inlineStr">
        <is>
          <t>Фокин Борис</t>
        </is>
      </c>
      <c r="O106" s="18" t="inlineStr">
        <is>
          <t>Гамаюнов Вячеслав</t>
        </is>
      </c>
    </row>
    <row r="107">
      <c r="A107" s="32" t="n">
        <v>106</v>
      </c>
      <c r="B107" s="32" t="inlineStr">
        <is>
          <t>524346</t>
        </is>
      </c>
      <c r="C107" s="32" t="inlineStr">
        <is>
          <t>19.08.2026</t>
        </is>
      </c>
      <c r="D107" s="23" t="inlineStr">
        <is>
          <t>Набережные Челны</t>
        </is>
      </c>
      <c r="E107" s="23" t="inlineStr">
        <is>
          <t>JETOUR</t>
        </is>
      </c>
      <c r="F107" s="23" t="inlineStr">
        <is>
          <t>DASHING</t>
        </is>
      </c>
      <c r="G107" s="32" t="inlineStr">
        <is>
          <t>EC3DCUFD2TC015240</t>
        </is>
      </c>
      <c r="H107" s="23" t="inlineStr">
        <is>
          <t>ГК «Диалог Авто»</t>
        </is>
      </c>
      <c r="I107" s="23" t="inlineStr">
        <is>
          <t>Online ГК Диалог \ ООО "Управляющая компания Диалог"</t>
        </is>
      </c>
      <c r="J107" s="23" t="inlineStr">
        <is>
          <t>МП2</t>
        </is>
      </c>
      <c r="K107" s="26" t="n">
        <v>2100000</v>
      </c>
      <c r="L107" s="27" t="n">
        <v>31500</v>
      </c>
      <c r="M107" s="27" t="n">
        <v>25819.67</v>
      </c>
      <c r="N107" s="23" t="inlineStr">
        <is>
          <t>Фокин Борис</t>
        </is>
      </c>
      <c r="O107" s="23" t="inlineStr">
        <is>
          <t>Гамаюнов Вячеслав</t>
        </is>
      </c>
    </row>
    <row r="108">
      <c r="A108" s="31" t="n">
        <v>107</v>
      </c>
      <c r="B108" s="31" t="inlineStr">
        <is>
          <t>517636</t>
        </is>
      </c>
      <c r="C108" s="31" t="inlineStr">
        <is>
          <t>28.08.2026</t>
        </is>
      </c>
      <c r="D108" s="18" t="inlineStr">
        <is>
          <t>Набережные Челны</t>
        </is>
      </c>
      <c r="E108" s="18" t="inlineStr">
        <is>
          <t>JETOUR</t>
        </is>
      </c>
      <c r="F108" s="18" t="inlineStr">
        <is>
          <t>DASHING</t>
        </is>
      </c>
      <c r="G108" s="31" t="inlineStr">
        <is>
          <t>EC3DCUFD2TC015965</t>
        </is>
      </c>
      <c r="H108" s="18" t="inlineStr">
        <is>
          <t>ГК «Диалог Авто»</t>
        </is>
      </c>
      <c r="I108" s="18" t="inlineStr">
        <is>
          <t>Online ГК Диалог \ ООО "Управляющая компания Диалог"</t>
        </is>
      </c>
      <c r="J108" s="18" t="inlineStr">
        <is>
          <t>МП2</t>
        </is>
      </c>
      <c r="K108" s="21" t="n">
        <v>2100000</v>
      </c>
      <c r="L108" s="22" t="n">
        <v>31500</v>
      </c>
      <c r="M108" s="22" t="n">
        <v>25819.67</v>
      </c>
      <c r="N108" s="18" t="inlineStr">
        <is>
          <t>Фокин Борис</t>
        </is>
      </c>
      <c r="O108" s="18" t="inlineStr">
        <is>
          <t>Гамаюнов Вячеслав</t>
        </is>
      </c>
    </row>
    <row r="109">
      <c r="A109" s="32" t="n">
        <v>108</v>
      </c>
      <c r="B109" s="32" t="inlineStr">
        <is>
          <t>513956</t>
        </is>
      </c>
      <c r="C109" s="32" t="inlineStr">
        <is>
          <t>12.08.2026</t>
        </is>
      </c>
      <c r="D109" s="23" t="inlineStr">
        <is>
          <t>Набережные Челны</t>
        </is>
      </c>
      <c r="E109" s="23" t="inlineStr">
        <is>
          <t>JETOUR</t>
        </is>
      </c>
      <c r="F109" s="23" t="inlineStr">
        <is>
          <t>DASHING</t>
        </is>
      </c>
      <c r="G109" s="32" t="inlineStr">
        <is>
          <t>EC3DCUFD8TC015145</t>
        </is>
      </c>
      <c r="H109" s="23" t="inlineStr">
        <is>
          <t>ГК «Диалог Авто»</t>
        </is>
      </c>
      <c r="I109" s="23" t="inlineStr">
        <is>
          <t>Online ГК Диалог \ ООО "Управляющая компания Диалог"</t>
        </is>
      </c>
      <c r="J109" s="23" t="inlineStr">
        <is>
          <t>МП2</t>
        </is>
      </c>
      <c r="K109" s="26" t="n">
        <v>2100000</v>
      </c>
      <c r="L109" s="27" t="n">
        <v>31500</v>
      </c>
      <c r="M109" s="27" t="n">
        <v>25819.67</v>
      </c>
      <c r="N109" s="23" t="inlineStr">
        <is>
          <t>Фокин Борис</t>
        </is>
      </c>
      <c r="O109" s="23" t="inlineStr">
        <is>
          <t>Гамаюнов Вячеслав</t>
        </is>
      </c>
    </row>
    <row r="110">
      <c r="A110" s="31" t="n">
        <v>109</v>
      </c>
      <c r="B110" s="31" t="inlineStr">
        <is>
          <t>511114</t>
        </is>
      </c>
      <c r="C110" s="31" t="inlineStr">
        <is>
          <t>08.08.2026</t>
        </is>
      </c>
      <c r="D110" s="18" t="inlineStr">
        <is>
          <t>Набережные Челны</t>
        </is>
      </c>
      <c r="E110" s="18" t="inlineStr">
        <is>
          <t>JETOUR</t>
        </is>
      </c>
      <c r="F110" s="18" t="inlineStr">
        <is>
          <t>DASHING</t>
        </is>
      </c>
      <c r="G110" s="31" t="inlineStr">
        <is>
          <t>EC3DCUFD3TC016168</t>
        </is>
      </c>
      <c r="H110" s="18" t="inlineStr">
        <is>
          <t>ГК «Диалог Авто»</t>
        </is>
      </c>
      <c r="I110" s="18" t="inlineStr">
        <is>
          <t>Online ГК Диалог \ ООО "Управляющая компания Диалог"</t>
        </is>
      </c>
      <c r="J110" s="18" t="inlineStr">
        <is>
          <t>МП2</t>
        </is>
      </c>
      <c r="K110" s="21" t="n">
        <v>2100000</v>
      </c>
      <c r="L110" s="22" t="n">
        <v>31500</v>
      </c>
      <c r="M110" s="22" t="n">
        <v>25819.67</v>
      </c>
      <c r="N110" s="18" t="inlineStr">
        <is>
          <t>Фокин Борис</t>
        </is>
      </c>
      <c r="O110" s="18" t="inlineStr">
        <is>
          <t>Гамаюнов Вячеслав</t>
        </is>
      </c>
    </row>
    <row r="111">
      <c r="A111" s="32" t="n">
        <v>110</v>
      </c>
      <c r="B111" s="32" t="inlineStr">
        <is>
          <t>507386</t>
        </is>
      </c>
      <c r="C111" s="32" t="inlineStr">
        <is>
          <t>04.08.2026</t>
        </is>
      </c>
      <c r="D111" s="23" t="inlineStr">
        <is>
          <t>Набережные Челны</t>
        </is>
      </c>
      <c r="E111" s="23" t="inlineStr">
        <is>
          <t>JETOUR</t>
        </is>
      </c>
      <c r="F111" s="23" t="inlineStr">
        <is>
          <t>DASHING</t>
        </is>
      </c>
      <c r="G111" s="32" t="inlineStr">
        <is>
          <t>EC3DCUFD5TC015913</t>
        </is>
      </c>
      <c r="H111" s="23" t="inlineStr">
        <is>
          <t>ГК «Апельсин» / «Автосеть.РФ»</t>
        </is>
      </c>
      <c r="I111" s="23" t="inlineStr">
        <is>
          <t>ГК Апельсин \ Челны-Авто Чери</t>
        </is>
      </c>
      <c r="J111" s="23" t="inlineStr">
        <is>
          <t>ФДЦ</t>
        </is>
      </c>
      <c r="K111" s="26" t="n">
        <v>2100000</v>
      </c>
      <c r="L111" s="27" t="n">
        <v>116122.4</v>
      </c>
      <c r="M111" s="27" t="n">
        <v>95182.3</v>
      </c>
      <c r="N111" s="23" t="inlineStr">
        <is>
          <t>Григорян Михаил</t>
        </is>
      </c>
      <c r="O111" s="23" t="inlineStr">
        <is>
          <t>Москот Владислав</t>
        </is>
      </c>
    </row>
    <row r="112">
      <c r="A112" s="31" t="n">
        <v>111</v>
      </c>
      <c r="B112" s="31" t="inlineStr">
        <is>
          <t>506450</t>
        </is>
      </c>
      <c r="C112" s="31" t="inlineStr">
        <is>
          <t>06.08.2026</t>
        </is>
      </c>
      <c r="D112" s="18" t="inlineStr">
        <is>
          <t>Набережные Челны</t>
        </is>
      </c>
      <c r="E112" s="18" t="inlineStr">
        <is>
          <t>JETOUR</t>
        </is>
      </c>
      <c r="F112" s="18" t="inlineStr">
        <is>
          <t>DASHING</t>
        </is>
      </c>
      <c r="G112" s="31" t="inlineStr">
        <is>
          <t>EC3DCUFD8TC014609</t>
        </is>
      </c>
      <c r="H112" s="18" t="inlineStr">
        <is>
          <t>ГК «Диалог Авто»</t>
        </is>
      </c>
      <c r="I112" s="18" t="inlineStr">
        <is>
          <t>ONLINE ДИАЛОГ А</t>
        </is>
      </c>
      <c r="J112" s="18" t="inlineStr">
        <is>
          <t>МП2</t>
        </is>
      </c>
      <c r="K112" s="21" t="n">
        <v>2100000</v>
      </c>
      <c r="L112" s="22" t="n">
        <v>31500</v>
      </c>
      <c r="M112" s="22" t="n">
        <v>25819.67</v>
      </c>
      <c r="N112" s="18" t="inlineStr">
        <is>
          <t>Фокин Борис</t>
        </is>
      </c>
      <c r="O112" s="18" t="inlineStr">
        <is>
          <t>Гамаюнов Вячеслав</t>
        </is>
      </c>
    </row>
    <row r="113">
      <c r="A113" s="32" t="n">
        <v>112</v>
      </c>
      <c r="B113" s="32" t="inlineStr">
        <is>
          <t>506634</t>
        </is>
      </c>
      <c r="C113" s="32" t="inlineStr">
        <is>
          <t>28.08.2026</t>
        </is>
      </c>
      <c r="D113" s="23" t="inlineStr">
        <is>
          <t>Набережные Челны</t>
        </is>
      </c>
      <c r="E113" s="23" t="inlineStr">
        <is>
          <t>JETOUR</t>
        </is>
      </c>
      <c r="F113" s="23" t="inlineStr">
        <is>
          <t>DASHING</t>
        </is>
      </c>
      <c r="G113" s="32" t="inlineStr">
        <is>
          <t>EC3DCUFD3TC015845</t>
        </is>
      </c>
      <c r="H113" s="23" t="inlineStr">
        <is>
          <t>ГК «Диалог Авто»</t>
        </is>
      </c>
      <c r="I113" s="23" t="inlineStr">
        <is>
          <t>Online ГК Диалог \ ООО "Управляющая компания Диалог"</t>
        </is>
      </c>
      <c r="J113" s="23" t="inlineStr">
        <is>
          <t>МП2</t>
        </is>
      </c>
      <c r="K113" s="26" t="n">
        <v>1970000</v>
      </c>
      <c r="L113" s="27" t="n">
        <v>29550</v>
      </c>
      <c r="M113" s="27" t="n">
        <v>24221.31</v>
      </c>
      <c r="N113" s="23" t="inlineStr">
        <is>
          <t>Фокин Борис</t>
        </is>
      </c>
      <c r="O113" s="23" t="inlineStr">
        <is>
          <t>Гамаюнов Вячеслав</t>
        </is>
      </c>
    </row>
    <row r="114">
      <c r="A114" s="31" t="n">
        <v>113</v>
      </c>
      <c r="B114" s="31" t="inlineStr">
        <is>
          <t>506282</t>
        </is>
      </c>
      <c r="C114" s="31" t="inlineStr">
        <is>
          <t>03.08.2026</t>
        </is>
      </c>
      <c r="D114" s="18" t="inlineStr">
        <is>
          <t>Набережные Челны</t>
        </is>
      </c>
      <c r="E114" s="18" t="inlineStr">
        <is>
          <t>JETOUR</t>
        </is>
      </c>
      <c r="F114" s="18" t="inlineStr">
        <is>
          <t>DASHING</t>
        </is>
      </c>
      <c r="G114" s="31" t="inlineStr">
        <is>
          <t>EC3DCUFDXTC014546</t>
        </is>
      </c>
      <c r="H114" s="18" t="inlineStr">
        <is>
          <t>ГК «Диалог Авто»</t>
        </is>
      </c>
      <c r="I114" s="18" t="inlineStr">
        <is>
          <t>ONLINE ДИАЛОГ А</t>
        </is>
      </c>
      <c r="J114" s="18" t="inlineStr">
        <is>
          <t>МП2</t>
        </is>
      </c>
      <c r="K114" s="21" t="n">
        <v>1970000</v>
      </c>
      <c r="L114" s="22" t="n">
        <v>29550</v>
      </c>
      <c r="M114" s="22" t="n">
        <v>24221.31</v>
      </c>
      <c r="N114" s="18" t="inlineStr">
        <is>
          <t>Фокин Борис</t>
        </is>
      </c>
      <c r="O114" s="18" t="inlineStr">
        <is>
          <t>Гамаюнов Вячеслав</t>
        </is>
      </c>
    </row>
    <row r="115">
      <c r="A115" s="32" t="n">
        <v>114</v>
      </c>
      <c r="B115" s="32" t="inlineStr">
        <is>
          <t>535358</t>
        </is>
      </c>
      <c r="C115" s="32" t="inlineStr">
        <is>
          <t>31.08.2026</t>
        </is>
      </c>
      <c r="D115" s="23" t="inlineStr">
        <is>
          <t>Набережные Челны</t>
        </is>
      </c>
      <c r="E115" s="23" t="inlineStr">
        <is>
          <t>JETOUR</t>
        </is>
      </c>
      <c r="F115" s="23" t="inlineStr">
        <is>
          <t>DASHING</t>
        </is>
      </c>
      <c r="G115" s="32" t="inlineStr">
        <is>
          <t>EC3DCUFD4TC015384</t>
        </is>
      </c>
      <c r="H115" s="23" t="inlineStr">
        <is>
          <t>ГК «Диалог Авто»</t>
        </is>
      </c>
      <c r="I115" s="23" t="inlineStr">
        <is>
          <t>Online ГК Диалог \ ООО "Управляющая компания Диалог"</t>
        </is>
      </c>
      <c r="J115" s="23" t="inlineStr">
        <is>
          <t>МП2</t>
        </is>
      </c>
      <c r="K115" s="26" t="n">
        <v>1800000</v>
      </c>
      <c r="L115" s="27" t="n">
        <v>27000</v>
      </c>
      <c r="M115" s="27" t="n">
        <v>22131.15</v>
      </c>
      <c r="N115" s="23" t="inlineStr">
        <is>
          <t>Фокин Борис</t>
        </is>
      </c>
      <c r="O115" s="23" t="inlineStr">
        <is>
          <t>Гамаюнов Вячеслав</t>
        </is>
      </c>
    </row>
    <row r="116">
      <c r="A116" s="31" t="n">
        <v>115</v>
      </c>
      <c r="B116" s="31" t="inlineStr">
        <is>
          <t>535336</t>
        </is>
      </c>
      <c r="C116" s="31" t="inlineStr">
        <is>
          <t>31.08.2026</t>
        </is>
      </c>
      <c r="D116" s="18" t="inlineStr">
        <is>
          <t>Набережные Челны</t>
        </is>
      </c>
      <c r="E116" s="18" t="inlineStr">
        <is>
          <t>JETOUR</t>
        </is>
      </c>
      <c r="F116" s="18" t="inlineStr">
        <is>
          <t>DASHING</t>
        </is>
      </c>
      <c r="G116" s="31" t="inlineStr">
        <is>
          <t>EC3DCUFD1TC015519</t>
        </is>
      </c>
      <c r="H116" s="18" t="inlineStr">
        <is>
          <t>ГК «Диалог Авто»</t>
        </is>
      </c>
      <c r="I116" s="18" t="inlineStr">
        <is>
          <t>Online ГК Диалог \ ООО "Управляющая компания Диалог"</t>
        </is>
      </c>
      <c r="J116" s="18" t="inlineStr">
        <is>
          <t>МП2</t>
        </is>
      </c>
      <c r="K116" s="21" t="n">
        <v>1800000</v>
      </c>
      <c r="L116" s="22" t="n">
        <v>27000</v>
      </c>
      <c r="M116" s="22" t="n">
        <v>22131.15</v>
      </c>
      <c r="N116" s="18" t="inlineStr">
        <is>
          <t>Фокин Борис</t>
        </is>
      </c>
      <c r="O116" s="18" t="inlineStr">
        <is>
          <t>Гамаюнов Вячеслав</t>
        </is>
      </c>
    </row>
    <row r="117">
      <c r="A117" s="32" t="n">
        <v>116</v>
      </c>
      <c r="B117" s="32" t="inlineStr">
        <is>
          <t>506512</t>
        </is>
      </c>
      <c r="C117" s="32" t="inlineStr">
        <is>
          <t>07.08.2026</t>
        </is>
      </c>
      <c r="D117" s="23" t="inlineStr">
        <is>
          <t>Набережные Челны</t>
        </is>
      </c>
      <c r="E117" s="23" t="inlineStr">
        <is>
          <t>LADA</t>
        </is>
      </c>
      <c r="F117" s="23" t="inlineStr">
        <is>
          <t>GRANTA</t>
        </is>
      </c>
      <c r="G117" s="32" t="inlineStr">
        <is>
          <t>XTA219140V0694638</t>
        </is>
      </c>
      <c r="H117" s="23" t="inlineStr">
        <is>
          <t>ГК «Апельсин» / «Автосеть.РФ»</t>
        </is>
      </c>
      <c r="I117" s="23" t="inlineStr">
        <is>
          <t>ONLINE Апельсин (ООО "АПЕЛЬСИН-ЧЕЛНЫ")</t>
        </is>
      </c>
      <c r="J117" s="23" t="inlineStr">
        <is>
          <t>ФДЦ</t>
        </is>
      </c>
      <c r="K117" s="26" t="n">
        <v>1203000</v>
      </c>
      <c r="L117" s="27" t="n">
        <v>44557</v>
      </c>
      <c r="M117" s="27" t="n">
        <v>36522.13</v>
      </c>
      <c r="N117" s="23" t="inlineStr">
        <is>
          <t>Яковлева Валерия</t>
        </is>
      </c>
      <c r="O117" s="23" t="inlineStr">
        <is>
          <t>Восконян Алексей</t>
        </is>
      </c>
    </row>
    <row r="118">
      <c r="A118" s="31" t="n">
        <v>117</v>
      </c>
      <c r="B118" s="31" t="inlineStr">
        <is>
          <t>523428</t>
        </is>
      </c>
      <c r="C118" s="31" t="inlineStr">
        <is>
          <t>26.08.2026</t>
        </is>
      </c>
      <c r="D118" s="18" t="inlineStr">
        <is>
          <t>Набережные Челны</t>
        </is>
      </c>
      <c r="E118" s="18" t="inlineStr">
        <is>
          <t>OMODA &amp; JAECOO</t>
        </is>
      </c>
      <c r="F118" s="18" t="inlineStr">
        <is>
          <t>JELAND J7</t>
        </is>
      </c>
      <c r="G118" s="31" t="inlineStr">
        <is>
          <t>EDXDD21B6TG020748</t>
        </is>
      </c>
      <c r="H118" s="18" t="inlineStr">
        <is>
          <t>ГК «Диалог Авто»</t>
        </is>
      </c>
      <c r="I118" s="18" t="inlineStr">
        <is>
          <t>Online ГК Диалог \ ООО "Управляющая компания Диалог"</t>
        </is>
      </c>
      <c r="J118" s="18" t="inlineStr">
        <is>
          <t>Online</t>
        </is>
      </c>
      <c r="K118" s="21" t="n">
        <v>2938000</v>
      </c>
      <c r="L118" s="22" t="n">
        <v>44070</v>
      </c>
      <c r="M118" s="22" t="n">
        <v>36122.95</v>
      </c>
      <c r="N118" s="18" t="inlineStr">
        <is>
          <t>Саушев Владимир</t>
        </is>
      </c>
      <c r="O118" s="18" t="inlineStr">
        <is>
          <t>Восконян Алексей</t>
        </is>
      </c>
    </row>
    <row r="119">
      <c r="A119" s="32" t="n">
        <v>118</v>
      </c>
      <c r="B119" s="32" t="inlineStr">
        <is>
          <t>529962</t>
        </is>
      </c>
      <c r="C119" s="32" t="inlineStr">
        <is>
          <t>27.08.2026</t>
        </is>
      </c>
      <c r="D119" s="23" t="inlineStr">
        <is>
          <t>Набережные Челны</t>
        </is>
      </c>
      <c r="E119" s="23" t="inlineStr">
        <is>
          <t>SOLARIS</t>
        </is>
      </c>
      <c r="F119" s="23" t="inlineStr">
        <is>
          <t>НС</t>
        </is>
      </c>
      <c r="G119" s="32" t="inlineStr">
        <is>
          <t>Z94PC815DSR065587</t>
        </is>
      </c>
      <c r="H119" s="23" t="inlineStr">
        <is>
          <t>ГК «Диалог Авто»</t>
        </is>
      </c>
      <c r="I119" s="23" t="inlineStr">
        <is>
          <t>ONLINE ООО "ДИАЛОГ АВТО"</t>
        </is>
      </c>
      <c r="J119" s="23" t="inlineStr">
        <is>
          <t>МП2</t>
        </is>
      </c>
      <c r="K119" s="26" t="n">
        <v>3318000</v>
      </c>
      <c r="L119" s="27" t="n">
        <v>49770</v>
      </c>
      <c r="M119" s="27" t="n">
        <v>40795.08</v>
      </c>
      <c r="N119" s="23" t="inlineStr">
        <is>
          <t>Фокин Борис</t>
        </is>
      </c>
      <c r="O119" s="23" t="inlineStr">
        <is>
          <t>Гамаюнов Вячеслав</t>
        </is>
      </c>
    </row>
    <row r="120">
      <c r="A120" s="31" t="n">
        <v>119</v>
      </c>
      <c r="B120" s="31" t="inlineStr">
        <is>
          <t>517374</t>
        </is>
      </c>
      <c r="C120" s="31" t="inlineStr">
        <is>
          <t>15.08.2026</t>
        </is>
      </c>
      <c r="D120" s="18" t="inlineStr">
        <is>
          <t>Набережные Челны</t>
        </is>
      </c>
      <c r="E120" s="18" t="inlineStr">
        <is>
          <t>SOLARIS</t>
        </is>
      </c>
      <c r="F120" s="18" t="inlineStr">
        <is>
          <t>HC</t>
        </is>
      </c>
      <c r="G120" s="31" t="inlineStr">
        <is>
          <t>Z94PC815DSR067318</t>
        </is>
      </c>
      <c r="H120" s="18" t="inlineStr">
        <is>
          <t>ГК «Апельсин» / «Автосеть.РФ»</t>
        </is>
      </c>
      <c r="I120" s="18" t="inlineStr">
        <is>
          <t>ONLINE Апельсин (ООО "АПЕЛЬСИН-ЧЕЛНЫ")</t>
        </is>
      </c>
      <c r="J120" s="18" t="inlineStr">
        <is>
          <t>МП2</t>
        </is>
      </c>
      <c r="K120" s="21" t="n">
        <v>3123000</v>
      </c>
      <c r="L120" s="22" t="n">
        <v>62460</v>
      </c>
      <c r="M120" s="22" t="n">
        <v>51196.72</v>
      </c>
      <c r="N120" s="18" t="inlineStr">
        <is>
          <t>Фокин Борис</t>
        </is>
      </c>
      <c r="O120" s="18" t="inlineStr">
        <is>
          <t>Гамаюнов Вячеслав</t>
        </is>
      </c>
    </row>
    <row r="121">
      <c r="A121" s="32" t="n">
        <v>120</v>
      </c>
      <c r="B121" s="32" t="inlineStr">
        <is>
          <t>514340</t>
        </is>
      </c>
      <c r="C121" s="32" t="inlineStr">
        <is>
          <t>19.08.2026</t>
        </is>
      </c>
      <c r="D121" s="23" t="inlineStr">
        <is>
          <t>Набережные Челны</t>
        </is>
      </c>
      <c r="E121" s="23" t="inlineStr">
        <is>
          <t>SOLARIS</t>
        </is>
      </c>
      <c r="F121" s="23" t="inlineStr">
        <is>
          <t>HC</t>
        </is>
      </c>
      <c r="G121" s="32" t="inlineStr">
        <is>
          <t>Z94PC815BSR067620</t>
        </is>
      </c>
      <c r="H121" s="23" t="inlineStr">
        <is>
          <t>ГК «Апельсин» / «Автосеть.РФ»</t>
        </is>
      </c>
      <c r="I121" s="23" t="inlineStr">
        <is>
          <t>ONLINE Апельсин (ООО "АПЕЛЬСИН-ЧЕЛНЫ")</t>
        </is>
      </c>
      <c r="J121" s="23" t="inlineStr">
        <is>
          <t>МП2</t>
        </is>
      </c>
      <c r="K121" s="26" t="n">
        <v>3100000</v>
      </c>
      <c r="L121" s="27" t="n">
        <v>62000</v>
      </c>
      <c r="M121" s="27" t="n">
        <v>50819.67</v>
      </c>
      <c r="N121" s="23" t="inlineStr">
        <is>
          <t>Фокин Борис</t>
        </is>
      </c>
      <c r="O121" s="23" t="inlineStr">
        <is>
          <t>Гамаюнов Вячеслав</t>
        </is>
      </c>
    </row>
    <row r="122">
      <c r="A122" s="31" t="n">
        <v>121</v>
      </c>
      <c r="B122" s="31" t="inlineStr">
        <is>
          <t>526524</t>
        </is>
      </c>
      <c r="C122" s="31" t="inlineStr">
        <is>
          <t>22.08.2026</t>
        </is>
      </c>
      <c r="D122" s="18" t="inlineStr">
        <is>
          <t>Набережные Челны</t>
        </is>
      </c>
      <c r="E122" s="18" t="inlineStr">
        <is>
          <t>SOLARIS</t>
        </is>
      </c>
      <c r="F122" s="18" t="inlineStr">
        <is>
          <t>HC</t>
        </is>
      </c>
      <c r="G122" s="31" t="inlineStr">
        <is>
          <t>Z94PF814BSR073833</t>
        </is>
      </c>
      <c r="H122" s="18" t="inlineStr">
        <is>
          <t>ГК «Апельсин» / «Автосеть.РФ»</t>
        </is>
      </c>
      <c r="I122" s="18" t="inlineStr">
        <is>
          <t>ONLINE Апельсин (ООО "АПЕЛЬСИН-ЧЕЛНЫ")</t>
        </is>
      </c>
      <c r="J122" s="18" t="inlineStr">
        <is>
          <t>МП2</t>
        </is>
      </c>
      <c r="K122" s="21" t="n">
        <v>2880900</v>
      </c>
      <c r="L122" s="22" t="n">
        <v>57618</v>
      </c>
      <c r="M122" s="22" t="n">
        <v>47227.87</v>
      </c>
      <c r="N122" s="18" t="inlineStr">
        <is>
          <t>Фокин Борис</t>
        </is>
      </c>
      <c r="O122" s="18" t="inlineStr">
        <is>
          <t>Гамаюнов Вячеслав</t>
        </is>
      </c>
    </row>
    <row r="123">
      <c r="A123" s="32" t="n">
        <v>122</v>
      </c>
      <c r="B123" s="32" t="inlineStr">
        <is>
          <t>525344</t>
        </is>
      </c>
      <c r="C123" s="32" t="inlineStr">
        <is>
          <t>21.08.2026</t>
        </is>
      </c>
      <c r="D123" s="23" t="inlineStr">
        <is>
          <t>Набережные Челны</t>
        </is>
      </c>
      <c r="E123" s="23" t="inlineStr">
        <is>
          <t>SOLARIS</t>
        </is>
      </c>
      <c r="F123" s="23" t="inlineStr">
        <is>
          <t>HC</t>
        </is>
      </c>
      <c r="G123" s="32" t="inlineStr">
        <is>
          <t>Z94PF814BSR074290</t>
        </is>
      </c>
      <c r="H123" s="23" t="inlineStr">
        <is>
          <t>ГК «Апельсин» / «Автосеть.РФ»</t>
        </is>
      </c>
      <c r="I123" s="23" t="inlineStr">
        <is>
          <t>ONLINE Апельсин (ООО "АПЕЛЬСИН-ЧЕЛНЫ")</t>
        </is>
      </c>
      <c r="J123" s="23" t="inlineStr">
        <is>
          <t>МП2</t>
        </is>
      </c>
      <c r="K123" s="26" t="n">
        <v>2880900</v>
      </c>
      <c r="L123" s="27" t="n">
        <v>59618</v>
      </c>
      <c r="M123" s="27" t="n">
        <v>48867.21</v>
      </c>
      <c r="N123" s="23" t="inlineStr">
        <is>
          <t>Фокин Борис</t>
        </is>
      </c>
      <c r="O123" s="23" t="inlineStr">
        <is>
          <t>Гамаюнов Вячеслав</t>
        </is>
      </c>
    </row>
    <row r="124">
      <c r="A124" s="31" t="n">
        <v>123</v>
      </c>
      <c r="B124" s="31" t="inlineStr">
        <is>
          <t>514718</t>
        </is>
      </c>
      <c r="C124" s="31" t="inlineStr">
        <is>
          <t>19.08.2026</t>
        </is>
      </c>
      <c r="D124" s="18" t="inlineStr">
        <is>
          <t>Набережные Челны</t>
        </is>
      </c>
      <c r="E124" s="18" t="inlineStr">
        <is>
          <t>SOLARIS</t>
        </is>
      </c>
      <c r="F124" s="18" t="inlineStr">
        <is>
          <t>HC</t>
        </is>
      </c>
      <c r="G124" s="31" t="inlineStr">
        <is>
          <t>Z94PB814CSR069020</t>
        </is>
      </c>
      <c r="H124" s="18" t="inlineStr">
        <is>
          <t>ГК «Апельсин» / «Автосеть.РФ»</t>
        </is>
      </c>
      <c r="I124" s="18" t="inlineStr">
        <is>
          <t>ONLINE Апельсин (ООО "АПЕЛЬСИН-ЧЕЛНЫ")</t>
        </is>
      </c>
      <c r="J124" s="18" t="inlineStr">
        <is>
          <t>МП2</t>
        </is>
      </c>
      <c r="K124" s="21" t="n">
        <v>2793600</v>
      </c>
      <c r="L124" s="22" t="n">
        <v>55872</v>
      </c>
      <c r="M124" s="22" t="n">
        <v>45796.72</v>
      </c>
      <c r="N124" s="18" t="inlineStr">
        <is>
          <t>Фокин Борис</t>
        </is>
      </c>
      <c r="O124" s="18" t="inlineStr">
        <is>
          <t>Гамаюнов Вячеслав</t>
        </is>
      </c>
    </row>
    <row r="125">
      <c r="A125" s="32" t="n">
        <v>124</v>
      </c>
      <c r="B125" s="32" t="inlineStr">
        <is>
          <t>512500</t>
        </is>
      </c>
      <c r="C125" s="32" t="inlineStr">
        <is>
          <t>10.08.2026</t>
        </is>
      </c>
      <c r="D125" s="23" t="inlineStr">
        <is>
          <t>Набережные Челны</t>
        </is>
      </c>
      <c r="E125" s="23" t="inlineStr">
        <is>
          <t>SOLARIS</t>
        </is>
      </c>
      <c r="F125" s="23" t="inlineStr">
        <is>
          <t>KRX</t>
        </is>
      </c>
      <c r="G125" s="32" t="inlineStr">
        <is>
          <t>Z94C251BBSR200841</t>
        </is>
      </c>
      <c r="H125" s="23" t="inlineStr">
        <is>
          <t>ГК «Апельсин» / «Автосеть.РФ»</t>
        </is>
      </c>
      <c r="I125" s="23" t="inlineStr">
        <is>
          <t>ONLINE Апельсин (ООО "АПЕЛЬСИН-ЧЕЛНЫ")</t>
        </is>
      </c>
      <c r="J125" s="23" t="inlineStr">
        <is>
          <t>МП2</t>
        </is>
      </c>
      <c r="K125" s="26" t="n">
        <v>2409250</v>
      </c>
      <c r="L125" s="27" t="n">
        <v>48185</v>
      </c>
      <c r="M125" s="27" t="n">
        <v>39495.9</v>
      </c>
      <c r="N125" s="23" t="inlineStr">
        <is>
          <t>Фокин Борис</t>
        </is>
      </c>
      <c r="O125" s="23" t="inlineStr">
        <is>
          <t>Гамаюнов Вячеслав</t>
        </is>
      </c>
    </row>
    <row r="126">
      <c r="A126" s="31" t="n">
        <v>125</v>
      </c>
      <c r="B126" s="31" t="inlineStr">
        <is>
          <t>536742</t>
        </is>
      </c>
      <c r="C126" s="31" t="inlineStr">
        <is>
          <t>31.08.2026</t>
        </is>
      </c>
      <c r="D126" s="18" t="inlineStr">
        <is>
          <t>Нижнекамск</t>
        </is>
      </c>
      <c r="E126" s="18" t="inlineStr">
        <is>
          <t>CHERY &amp; TENET</t>
        </is>
      </c>
      <c r="F126" s="18" t="inlineStr">
        <is>
          <t>TENET T7</t>
        </is>
      </c>
      <c r="G126" s="31" t="inlineStr">
        <is>
          <t>EDXFB32B8TE067360</t>
        </is>
      </c>
      <c r="H126" s="18" t="inlineStr">
        <is>
          <t>ГК «Диалог Авто»</t>
        </is>
      </c>
      <c r="I126" s="18" t="inlineStr">
        <is>
          <t>Online ГК Диалог \ ООО "Управляющая компания Диалог"</t>
        </is>
      </c>
      <c r="J126" s="18" t="inlineStr">
        <is>
          <t>Передача лида</t>
        </is>
      </c>
      <c r="K126" s="21" t="n">
        <v>2635000</v>
      </c>
      <c r="L126" s="22" t="n">
        <v>39525</v>
      </c>
      <c r="M126" s="22" t="n">
        <v>32397.54</v>
      </c>
      <c r="N126" s="18" t="inlineStr">
        <is>
          <t>Петров Александр</t>
        </is>
      </c>
      <c r="O126" s="18" t="inlineStr">
        <is>
          <t>Восконян Алексей</t>
        </is>
      </c>
    </row>
    <row r="127">
      <c r="A127" s="32" t="n">
        <v>126</v>
      </c>
      <c r="B127" s="32" t="inlineStr">
        <is>
          <t>534660</t>
        </is>
      </c>
      <c r="C127" s="32" t="inlineStr">
        <is>
          <t>31.08.2026</t>
        </is>
      </c>
      <c r="D127" s="23" t="inlineStr">
        <is>
          <t>Нижнекамск</t>
        </is>
      </c>
      <c r="E127" s="23" t="inlineStr">
        <is>
          <t>JETOUR</t>
        </is>
      </c>
      <c r="F127" s="23" t="inlineStr">
        <is>
          <t>X70 PLUS</t>
        </is>
      </c>
      <c r="G127" s="32" t="inlineStr">
        <is>
          <t>EC37LUSM3TC007392</t>
        </is>
      </c>
      <c r="H127" s="23" t="inlineStr">
        <is>
          <t>ТД «Армада-Авто»</t>
        </is>
      </c>
      <c r="I127" s="23" t="inlineStr">
        <is>
          <t>ONLINE ООО "ТД АРМАДА-АВТО"</t>
        </is>
      </c>
      <c r="J127" s="23" t="inlineStr">
        <is>
          <t>ФДЦ</t>
        </is>
      </c>
      <c r="K127" s="26" t="n">
        <v>2460000</v>
      </c>
      <c r="L127" s="27" t="n">
        <v>49200</v>
      </c>
      <c r="M127" s="27" t="n">
        <v>40327.87</v>
      </c>
      <c r="N127" s="23" t="inlineStr">
        <is>
          <t>Горбунов Роман</t>
        </is>
      </c>
      <c r="O127" s="23" t="inlineStr">
        <is>
          <t>Восконян Алексей</t>
        </is>
      </c>
    </row>
    <row r="128">
      <c r="A128" s="31" t="n">
        <v>127</v>
      </c>
      <c r="B128" s="31" t="inlineStr">
        <is>
          <t>534388</t>
        </is>
      </c>
      <c r="C128" s="31" t="inlineStr">
        <is>
          <t>30.08.2026</t>
        </is>
      </c>
      <c r="D128" s="18" t="inlineStr">
        <is>
          <t>Нижнекамск</t>
        </is>
      </c>
      <c r="E128" s="18" t="inlineStr">
        <is>
          <t>JETOUR</t>
        </is>
      </c>
      <c r="F128" s="18" t="inlineStr">
        <is>
          <t>X70+</t>
        </is>
      </c>
      <c r="G128" s="31" t="inlineStr">
        <is>
          <t>EC37LUSM9TC007350</t>
        </is>
      </c>
      <c r="H128" s="18" t="inlineStr">
        <is>
          <t>ТД «Армада-Авто»</t>
        </is>
      </c>
      <c r="I128" s="18" t="inlineStr">
        <is>
          <t>ООО "АРМАДА-АВТО" online</t>
        </is>
      </c>
      <c r="J128" s="18" t="inlineStr">
        <is>
          <t>ФДЦ</t>
        </is>
      </c>
      <c r="K128" s="21" t="n">
        <v>2460000</v>
      </c>
      <c r="L128" s="22" t="n">
        <v>49200</v>
      </c>
      <c r="M128" s="22" t="n">
        <v>40327.87</v>
      </c>
      <c r="N128" s="18" t="inlineStr">
        <is>
          <t>Сабанцева Эльвира</t>
        </is>
      </c>
      <c r="O128" s="18" t="inlineStr">
        <is>
          <t>Москот Владислав</t>
        </is>
      </c>
    </row>
    <row r="129">
      <c r="A129" s="32" t="n">
        <v>128</v>
      </c>
      <c r="B129" s="32" t="inlineStr">
        <is>
          <t>534168</t>
        </is>
      </c>
      <c r="C129" s="32" t="inlineStr">
        <is>
          <t>30.08.2026</t>
        </is>
      </c>
      <c r="D129" s="23" t="inlineStr">
        <is>
          <t>Нижнекамск</t>
        </is>
      </c>
      <c r="E129" s="23" t="inlineStr">
        <is>
          <t>JETOUR</t>
        </is>
      </c>
      <c r="F129" s="23" t="inlineStr">
        <is>
          <t>Х70+</t>
        </is>
      </c>
      <c r="G129" s="32" t="inlineStr">
        <is>
          <t>EC37LUSM6TC007323</t>
        </is>
      </c>
      <c r="H129" s="23" t="inlineStr">
        <is>
          <t>ТД «Армада-Авто»</t>
        </is>
      </c>
      <c r="I129" s="23" t="inlineStr">
        <is>
          <t>ONLINE ООО "ТД АРМАДА-АВТО"</t>
        </is>
      </c>
      <c r="J129" s="23" t="inlineStr">
        <is>
          <t>МП2</t>
        </is>
      </c>
      <c r="K129" s="26" t="n">
        <v>2460000</v>
      </c>
      <c r="L129" s="27" t="n">
        <v>49200</v>
      </c>
      <c r="M129" s="27" t="n">
        <v>40327.87</v>
      </c>
      <c r="N129" s="23" t="inlineStr">
        <is>
          <t>Фокин Борис</t>
        </is>
      </c>
      <c r="O129" s="23" t="inlineStr">
        <is>
          <t>Гамаюнов Вячеслав</t>
        </is>
      </c>
    </row>
    <row r="130">
      <c r="A130" s="31" t="n">
        <v>129</v>
      </c>
      <c r="B130" s="31" t="inlineStr">
        <is>
          <t>508702</t>
        </is>
      </c>
      <c r="C130" s="31" t="inlineStr">
        <is>
          <t>05.08.2026</t>
        </is>
      </c>
      <c r="D130" s="18" t="inlineStr">
        <is>
          <t>Нижнекамск</t>
        </is>
      </c>
      <c r="E130" s="18" t="inlineStr">
        <is>
          <t>SOLARIS</t>
        </is>
      </c>
      <c r="F130" s="18" t="inlineStr">
        <is>
          <t>HC</t>
        </is>
      </c>
      <c r="G130" s="31" t="inlineStr">
        <is>
          <t>Z94PF815BSR065403</t>
        </is>
      </c>
      <c r="H130" s="18" t="inlineStr">
        <is>
          <t>ТД «Армада-Авто»</t>
        </is>
      </c>
      <c r="I130" s="18" t="inlineStr">
        <is>
          <t>ООО "АРМАДА-АВТО" online</t>
        </is>
      </c>
      <c r="J130" s="18" t="inlineStr">
        <is>
          <t>Передача лида</t>
        </is>
      </c>
      <c r="K130" s="21" t="n">
        <v>2872800</v>
      </c>
      <c r="L130" s="22" t="n">
        <v>57456</v>
      </c>
      <c r="M130" s="22" t="n">
        <v>47095.08</v>
      </c>
      <c r="N130" s="18" t="inlineStr">
        <is>
          <t>Григорян Михаил</t>
        </is>
      </c>
      <c r="O130" s="18" t="inlineStr">
        <is>
          <t>Москот Владислав</t>
        </is>
      </c>
    </row>
    <row r="131">
      <c r="A131" s="33" t="inlineStr">
        <is>
          <t>ИТОГО</t>
        </is>
      </c>
      <c r="B131" s="33" t="inlineStr">
        <is>
          <t>129 сделок</t>
        </is>
      </c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28">
        <f>SUM(K2:K130)</f>
        <v/>
      </c>
      <c r="L131" s="29">
        <f>SUM(L2:L130)</f>
        <v/>
      </c>
      <c r="M131" s="29">
        <f>SUM(M2:M130)</f>
        <v/>
      </c>
      <c r="N131" s="34" t="n"/>
      <c r="O131" s="34" t="n"/>
    </row>
  </sheetData>
  <autoFilter ref="A1:O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2026-09-08T08:26:46Z</dcterms:created>
  <dcterms:modified xmlns:dcterms="http://purl.org/dc/terms/" xmlns:xsi="http://www.w3.org/2001/XMLSchema-instance" xsi:type="dcterms:W3CDTF">2026-09-08T08:26:46Z</dcterms:modified>
</cp:coreProperties>
</file>